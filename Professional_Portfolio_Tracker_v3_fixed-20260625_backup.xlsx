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0ef5c2a6851dcc6/6Career/100KProject/Trading/"/>
    </mc:Choice>
  </mc:AlternateContent>
  <xr:revisionPtr revIDLastSave="9" documentId="13_ncr:1_{41F015E0-2287-486C-8286-5B7CA43D7CCF}" xr6:coauthVersionLast="47" xr6:coauthVersionMax="47" xr10:uidLastSave="{333E1871-AC0D-4833-B2DB-1DB5DC9B8886}"/>
  <bookViews>
    <workbookView xWindow="-103" yWindow="-103" windowWidth="24892" windowHeight="14914" activeTab="7" xr2:uid="{00000000-000D-0000-FFFF-FFFF00000000}"/>
  </bookViews>
  <sheets>
    <sheet name="README" sheetId="1" r:id="rId1"/>
    <sheet name="Config" sheetId="2" r:id="rId2"/>
    <sheet name="Prices" sheetId="3" r:id="rId3"/>
    <sheet name="Transactions" sheetId="4" r:id="rId4"/>
    <sheet name="Cash_Flow" sheetId="5" r:id="rId5"/>
    <sheet name="Holdings" sheetId="6" r:id="rId6"/>
    <sheet name="Daily_Equity" sheetId="7" r:id="rId7"/>
    <sheet name="Dashboard" sheetId="8" r:id="rId8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7" i="4" l="1"/>
  <c r="M37" i="4" s="1"/>
  <c r="N37" i="4" s="1"/>
  <c r="L37" i="4"/>
  <c r="O37" i="4" s="1"/>
  <c r="L38" i="4" s="1"/>
  <c r="O38" i="4" s="1"/>
  <c r="K38" i="4"/>
  <c r="M38" i="4" s="1"/>
  <c r="N38" i="4"/>
  <c r="P38" i="4"/>
  <c r="Q38" i="4" s="1"/>
  <c r="K39" i="4"/>
  <c r="L39" i="4"/>
  <c r="K40" i="4"/>
  <c r="L40" i="4"/>
  <c r="M40" i="4"/>
  <c r="N40" i="4"/>
  <c r="O40" i="4"/>
  <c r="P40" i="4"/>
  <c r="Q40" i="4" s="1"/>
  <c r="K41" i="4"/>
  <c r="L41" i="4"/>
  <c r="N41" i="4"/>
  <c r="K42" i="4"/>
  <c r="L42" i="4"/>
  <c r="K43" i="4"/>
  <c r="L43" i="4"/>
  <c r="K44" i="4"/>
  <c r="L44" i="4"/>
  <c r="K45" i="4"/>
  <c r="L45" i="4"/>
  <c r="N45" i="4"/>
  <c r="P45" i="4"/>
  <c r="K46" i="4"/>
  <c r="L46" i="4"/>
  <c r="P46" i="4"/>
  <c r="K47" i="4"/>
  <c r="L47" i="4"/>
  <c r="K48" i="4"/>
  <c r="L48" i="4"/>
  <c r="K49" i="4"/>
  <c r="L49" i="4"/>
  <c r="N49" i="4"/>
  <c r="O49" i="4"/>
  <c r="P49" i="4"/>
  <c r="K50" i="4"/>
  <c r="L50" i="4"/>
  <c r="N50" i="4"/>
  <c r="O50" i="4"/>
  <c r="P50" i="4"/>
  <c r="K51" i="4"/>
  <c r="L51" i="4"/>
  <c r="N51" i="4"/>
  <c r="O51" i="4"/>
  <c r="P51" i="4"/>
  <c r="K52" i="4"/>
  <c r="L52" i="4"/>
  <c r="N52" i="4"/>
  <c r="O52" i="4"/>
  <c r="P52" i="4"/>
  <c r="K53" i="4"/>
  <c r="L53" i="4"/>
  <c r="N53" i="4"/>
  <c r="O53" i="4"/>
  <c r="P53" i="4"/>
  <c r="K54" i="4"/>
  <c r="L54" i="4"/>
  <c r="N54" i="4"/>
  <c r="O54" i="4"/>
  <c r="P54" i="4"/>
  <c r="K55" i="4"/>
  <c r="L55" i="4"/>
  <c r="N55" i="4"/>
  <c r="O55" i="4"/>
  <c r="P55" i="4"/>
  <c r="K56" i="4"/>
  <c r="L56" i="4"/>
  <c r="N56" i="4"/>
  <c r="O56" i="4"/>
  <c r="P56" i="4"/>
  <c r="K57" i="4"/>
  <c r="L57" i="4"/>
  <c r="N57" i="4"/>
  <c r="O57" i="4"/>
  <c r="P57" i="4"/>
  <c r="K58" i="4"/>
  <c r="L58" i="4"/>
  <c r="N58" i="4"/>
  <c r="O58" i="4"/>
  <c r="P58" i="4"/>
  <c r="K59" i="4"/>
  <c r="L59" i="4"/>
  <c r="N59" i="4"/>
  <c r="O59" i="4"/>
  <c r="P59" i="4"/>
  <c r="K60" i="4"/>
  <c r="L60" i="4"/>
  <c r="N60" i="4"/>
  <c r="O60" i="4"/>
  <c r="P60" i="4"/>
  <c r="K61" i="4"/>
  <c r="L61" i="4"/>
  <c r="N61" i="4"/>
  <c r="O61" i="4"/>
  <c r="P61" i="4"/>
  <c r="K62" i="4"/>
  <c r="L62" i="4"/>
  <c r="N62" i="4"/>
  <c r="O62" i="4"/>
  <c r="P62" i="4"/>
  <c r="K63" i="4"/>
  <c r="L63" i="4"/>
  <c r="N63" i="4"/>
  <c r="O63" i="4"/>
  <c r="P63" i="4"/>
  <c r="K64" i="4"/>
  <c r="L64" i="4"/>
  <c r="N64" i="4"/>
  <c r="O64" i="4"/>
  <c r="P64" i="4"/>
  <c r="K65" i="4"/>
  <c r="L65" i="4"/>
  <c r="N65" i="4"/>
  <c r="O65" i="4"/>
  <c r="P65" i="4"/>
  <c r="K66" i="4"/>
  <c r="L66" i="4"/>
  <c r="N66" i="4"/>
  <c r="O66" i="4"/>
  <c r="P66" i="4"/>
  <c r="K67" i="4"/>
  <c r="L67" i="4"/>
  <c r="N67" i="4"/>
  <c r="O67" i="4"/>
  <c r="P67" i="4"/>
  <c r="K68" i="4"/>
  <c r="L68" i="4"/>
  <c r="N68" i="4"/>
  <c r="O68" i="4"/>
  <c r="P68" i="4"/>
  <c r="K69" i="4"/>
  <c r="L69" i="4"/>
  <c r="N69" i="4"/>
  <c r="O69" i="4"/>
  <c r="P69" i="4"/>
  <c r="K70" i="4"/>
  <c r="L70" i="4"/>
  <c r="N70" i="4"/>
  <c r="O70" i="4"/>
  <c r="P70" i="4"/>
  <c r="K71" i="4"/>
  <c r="L71" i="4"/>
  <c r="N71" i="4"/>
  <c r="O71" i="4"/>
  <c r="P71" i="4"/>
  <c r="K72" i="4"/>
  <c r="L72" i="4"/>
  <c r="N72" i="4"/>
  <c r="O72" i="4"/>
  <c r="P72" i="4"/>
  <c r="K73" i="4"/>
  <c r="L73" i="4"/>
  <c r="N73" i="4"/>
  <c r="O73" i="4"/>
  <c r="P73" i="4"/>
  <c r="K74" i="4"/>
  <c r="L74" i="4"/>
  <c r="N74" i="4"/>
  <c r="O74" i="4"/>
  <c r="P74" i="4"/>
  <c r="K75" i="4"/>
  <c r="L75" i="4"/>
  <c r="N75" i="4"/>
  <c r="O75" i="4"/>
  <c r="P75" i="4"/>
  <c r="K76" i="4"/>
  <c r="L76" i="4"/>
  <c r="N76" i="4"/>
  <c r="O76" i="4"/>
  <c r="P76" i="4"/>
  <c r="K77" i="4"/>
  <c r="L77" i="4"/>
  <c r="N77" i="4"/>
  <c r="O77" i="4"/>
  <c r="P77" i="4"/>
  <c r="K78" i="4"/>
  <c r="L78" i="4"/>
  <c r="N78" i="4"/>
  <c r="O78" i="4"/>
  <c r="P78" i="4"/>
  <c r="K79" i="4"/>
  <c r="L79" i="4"/>
  <c r="N79" i="4"/>
  <c r="O79" i="4"/>
  <c r="P79" i="4"/>
  <c r="K80" i="4"/>
  <c r="L80" i="4"/>
  <c r="N80" i="4"/>
  <c r="O80" i="4"/>
  <c r="P80" i="4"/>
  <c r="K81" i="4"/>
  <c r="L81" i="4"/>
  <c r="N81" i="4"/>
  <c r="O81" i="4"/>
  <c r="P81" i="4"/>
  <c r="K82" i="4"/>
  <c r="L82" i="4"/>
  <c r="N82" i="4"/>
  <c r="O82" i="4"/>
  <c r="P82" i="4"/>
  <c r="K83" i="4"/>
  <c r="L83" i="4"/>
  <c r="N83" i="4"/>
  <c r="O83" i="4"/>
  <c r="P83" i="4"/>
  <c r="K84" i="4"/>
  <c r="L84" i="4"/>
  <c r="N84" i="4"/>
  <c r="O84" i="4"/>
  <c r="P84" i="4"/>
  <c r="K85" i="4"/>
  <c r="L85" i="4"/>
  <c r="N85" i="4"/>
  <c r="O85" i="4"/>
  <c r="P85" i="4"/>
  <c r="K86" i="4"/>
  <c r="L86" i="4"/>
  <c r="N86" i="4"/>
  <c r="O86" i="4"/>
  <c r="P86" i="4"/>
  <c r="K87" i="4"/>
  <c r="L87" i="4"/>
  <c r="N87" i="4"/>
  <c r="O87" i="4"/>
  <c r="P87" i="4"/>
  <c r="K88" i="4"/>
  <c r="L88" i="4"/>
  <c r="N88" i="4"/>
  <c r="O88" i="4"/>
  <c r="P88" i="4"/>
  <c r="K89" i="4"/>
  <c r="L89" i="4"/>
  <c r="N89" i="4"/>
  <c r="O89" i="4"/>
  <c r="P89" i="4"/>
  <c r="K90" i="4"/>
  <c r="L90" i="4"/>
  <c r="N90" i="4"/>
  <c r="O90" i="4"/>
  <c r="P90" i="4"/>
  <c r="K91" i="4"/>
  <c r="L91" i="4"/>
  <c r="N91" i="4"/>
  <c r="O91" i="4"/>
  <c r="P91" i="4"/>
  <c r="K92" i="4"/>
  <c r="L92" i="4"/>
  <c r="N92" i="4"/>
  <c r="O92" i="4"/>
  <c r="P92" i="4"/>
  <c r="K93" i="4"/>
  <c r="L93" i="4"/>
  <c r="N93" i="4"/>
  <c r="O93" i="4"/>
  <c r="P93" i="4"/>
  <c r="K94" i="4"/>
  <c r="L94" i="4"/>
  <c r="N94" i="4"/>
  <c r="O94" i="4"/>
  <c r="P94" i="4"/>
  <c r="K95" i="4"/>
  <c r="L95" i="4"/>
  <c r="N95" i="4"/>
  <c r="O95" i="4"/>
  <c r="P95" i="4"/>
  <c r="K96" i="4"/>
  <c r="L96" i="4"/>
  <c r="N96" i="4"/>
  <c r="O96" i="4"/>
  <c r="P96" i="4"/>
  <c r="K97" i="4"/>
  <c r="L97" i="4"/>
  <c r="N97" i="4"/>
  <c r="O97" i="4"/>
  <c r="P97" i="4"/>
  <c r="K98" i="4"/>
  <c r="L98" i="4"/>
  <c r="N98" i="4"/>
  <c r="O98" i="4"/>
  <c r="P98" i="4"/>
  <c r="K99" i="4"/>
  <c r="L99" i="4"/>
  <c r="N99" i="4"/>
  <c r="O99" i="4"/>
  <c r="P99" i="4"/>
  <c r="K100" i="4"/>
  <c r="L100" i="4"/>
  <c r="N100" i="4"/>
  <c r="O100" i="4"/>
  <c r="P100" i="4"/>
  <c r="K101" i="4"/>
  <c r="L101" i="4"/>
  <c r="N101" i="4"/>
  <c r="O101" i="4"/>
  <c r="P101" i="4"/>
  <c r="K102" i="4"/>
  <c r="L102" i="4"/>
  <c r="N102" i="4"/>
  <c r="O102" i="4"/>
  <c r="P102" i="4"/>
  <c r="K103" i="4"/>
  <c r="L103" i="4"/>
  <c r="N103" i="4"/>
  <c r="O103" i="4"/>
  <c r="P103" i="4"/>
  <c r="K104" i="4"/>
  <c r="L104" i="4"/>
  <c r="N104" i="4"/>
  <c r="O104" i="4"/>
  <c r="P104" i="4"/>
  <c r="K105" i="4"/>
  <c r="L105" i="4"/>
  <c r="N105" i="4"/>
  <c r="O105" i="4"/>
  <c r="P105" i="4"/>
  <c r="K106" i="4"/>
  <c r="L106" i="4"/>
  <c r="N106" i="4"/>
  <c r="O106" i="4"/>
  <c r="P106" i="4"/>
  <c r="K107" i="4"/>
  <c r="L107" i="4"/>
  <c r="N107" i="4"/>
  <c r="O107" i="4"/>
  <c r="P107" i="4"/>
  <c r="K108" i="4"/>
  <c r="L108" i="4"/>
  <c r="N108" i="4"/>
  <c r="O108" i="4"/>
  <c r="P108" i="4"/>
  <c r="K109" i="4"/>
  <c r="L109" i="4"/>
  <c r="N109" i="4"/>
  <c r="O109" i="4"/>
  <c r="P109" i="4"/>
  <c r="K110" i="4"/>
  <c r="L110" i="4"/>
  <c r="N110" i="4"/>
  <c r="O110" i="4"/>
  <c r="P110" i="4"/>
  <c r="K111" i="4"/>
  <c r="L111" i="4"/>
  <c r="N111" i="4"/>
  <c r="O111" i="4"/>
  <c r="P111" i="4"/>
  <c r="K112" i="4"/>
  <c r="L112" i="4"/>
  <c r="N112" i="4"/>
  <c r="O112" i="4"/>
  <c r="P112" i="4"/>
  <c r="K113" i="4"/>
  <c r="L113" i="4"/>
  <c r="N113" i="4"/>
  <c r="O113" i="4"/>
  <c r="P113" i="4"/>
  <c r="K114" i="4"/>
  <c r="L114" i="4"/>
  <c r="N114" i="4"/>
  <c r="O114" i="4"/>
  <c r="P114" i="4"/>
  <c r="K115" i="4"/>
  <c r="L115" i="4"/>
  <c r="N115" i="4"/>
  <c r="O115" i="4"/>
  <c r="P115" i="4"/>
  <c r="K116" i="4"/>
  <c r="L116" i="4"/>
  <c r="N116" i="4"/>
  <c r="O116" i="4"/>
  <c r="P116" i="4"/>
  <c r="K117" i="4"/>
  <c r="L117" i="4"/>
  <c r="N117" i="4"/>
  <c r="O117" i="4"/>
  <c r="P117" i="4"/>
  <c r="K118" i="4"/>
  <c r="L118" i="4"/>
  <c r="N118" i="4"/>
  <c r="O118" i="4"/>
  <c r="P118" i="4"/>
  <c r="K119" i="4"/>
  <c r="L119" i="4"/>
  <c r="N119" i="4"/>
  <c r="O119" i="4"/>
  <c r="P119" i="4"/>
  <c r="K120" i="4"/>
  <c r="L120" i="4"/>
  <c r="N120" i="4"/>
  <c r="O120" i="4"/>
  <c r="P120" i="4"/>
  <c r="K121" i="4"/>
  <c r="L121" i="4"/>
  <c r="N121" i="4"/>
  <c r="O121" i="4"/>
  <c r="P121" i="4"/>
  <c r="K122" i="4"/>
  <c r="L122" i="4"/>
  <c r="N122" i="4"/>
  <c r="O122" i="4"/>
  <c r="P122" i="4"/>
  <c r="K123" i="4"/>
  <c r="L123" i="4"/>
  <c r="N123" i="4"/>
  <c r="O123" i="4"/>
  <c r="P123" i="4"/>
  <c r="K124" i="4"/>
  <c r="L124" i="4"/>
  <c r="N124" i="4"/>
  <c r="O124" i="4"/>
  <c r="P124" i="4"/>
  <c r="K125" i="4"/>
  <c r="L125" i="4"/>
  <c r="N125" i="4"/>
  <c r="O125" i="4"/>
  <c r="P125" i="4"/>
  <c r="K126" i="4"/>
  <c r="L126" i="4"/>
  <c r="N126" i="4"/>
  <c r="O126" i="4"/>
  <c r="P126" i="4"/>
  <c r="K127" i="4"/>
  <c r="L127" i="4"/>
  <c r="N127" i="4"/>
  <c r="O127" i="4"/>
  <c r="P127" i="4"/>
  <c r="K128" i="4"/>
  <c r="L128" i="4"/>
  <c r="N128" i="4"/>
  <c r="O128" i="4"/>
  <c r="P128" i="4"/>
  <c r="K129" i="4"/>
  <c r="L129" i="4"/>
  <c r="N129" i="4"/>
  <c r="O129" i="4"/>
  <c r="P129" i="4"/>
  <c r="K130" i="4"/>
  <c r="L130" i="4"/>
  <c r="N130" i="4"/>
  <c r="O130" i="4"/>
  <c r="P130" i="4"/>
  <c r="K131" i="4"/>
  <c r="L131" i="4"/>
  <c r="N131" i="4"/>
  <c r="O131" i="4"/>
  <c r="P131" i="4"/>
  <c r="K132" i="4"/>
  <c r="L132" i="4"/>
  <c r="N132" i="4"/>
  <c r="O132" i="4"/>
  <c r="P132" i="4"/>
  <c r="K133" i="4"/>
  <c r="L133" i="4"/>
  <c r="N133" i="4"/>
  <c r="O133" i="4"/>
  <c r="P133" i="4"/>
  <c r="K134" i="4"/>
  <c r="L134" i="4"/>
  <c r="N134" i="4"/>
  <c r="O134" i="4"/>
  <c r="P134" i="4"/>
  <c r="K135" i="4"/>
  <c r="L135" i="4"/>
  <c r="N135" i="4"/>
  <c r="O135" i="4"/>
  <c r="P135" i="4"/>
  <c r="K136" i="4"/>
  <c r="L136" i="4"/>
  <c r="N136" i="4"/>
  <c r="O136" i="4"/>
  <c r="P136" i="4"/>
  <c r="K137" i="4"/>
  <c r="L137" i="4"/>
  <c r="N137" i="4"/>
  <c r="O137" i="4"/>
  <c r="P137" i="4"/>
  <c r="K138" i="4"/>
  <c r="L138" i="4"/>
  <c r="N138" i="4"/>
  <c r="O138" i="4"/>
  <c r="P138" i="4"/>
  <c r="K139" i="4"/>
  <c r="L139" i="4"/>
  <c r="N139" i="4"/>
  <c r="O139" i="4"/>
  <c r="P139" i="4"/>
  <c r="K140" i="4"/>
  <c r="L140" i="4"/>
  <c r="N140" i="4"/>
  <c r="O140" i="4"/>
  <c r="P140" i="4"/>
  <c r="K141" i="4"/>
  <c r="L141" i="4"/>
  <c r="N141" i="4"/>
  <c r="O141" i="4"/>
  <c r="P141" i="4"/>
  <c r="K142" i="4"/>
  <c r="L142" i="4"/>
  <c r="N142" i="4"/>
  <c r="O142" i="4"/>
  <c r="P142" i="4"/>
  <c r="K143" i="4"/>
  <c r="L143" i="4"/>
  <c r="N143" i="4"/>
  <c r="O143" i="4"/>
  <c r="P143" i="4"/>
  <c r="K144" i="4"/>
  <c r="L144" i="4"/>
  <c r="N144" i="4"/>
  <c r="O144" i="4"/>
  <c r="P144" i="4"/>
  <c r="K145" i="4"/>
  <c r="L145" i="4"/>
  <c r="N145" i="4"/>
  <c r="O145" i="4"/>
  <c r="P145" i="4"/>
  <c r="K146" i="4"/>
  <c r="L146" i="4"/>
  <c r="N146" i="4"/>
  <c r="O146" i="4"/>
  <c r="P146" i="4"/>
  <c r="K147" i="4"/>
  <c r="L147" i="4"/>
  <c r="N147" i="4"/>
  <c r="O147" i="4"/>
  <c r="P147" i="4"/>
  <c r="K148" i="4"/>
  <c r="L148" i="4"/>
  <c r="N148" i="4"/>
  <c r="O148" i="4"/>
  <c r="P148" i="4"/>
  <c r="K149" i="4"/>
  <c r="L149" i="4"/>
  <c r="N149" i="4"/>
  <c r="O149" i="4"/>
  <c r="P149" i="4"/>
  <c r="K150" i="4"/>
  <c r="L150" i="4"/>
  <c r="N150" i="4"/>
  <c r="O150" i="4"/>
  <c r="P150" i="4"/>
  <c r="K151" i="4"/>
  <c r="L151" i="4"/>
  <c r="N151" i="4"/>
  <c r="O151" i="4"/>
  <c r="P151" i="4"/>
  <c r="K152" i="4"/>
  <c r="L152" i="4"/>
  <c r="N152" i="4"/>
  <c r="O152" i="4"/>
  <c r="P152" i="4"/>
  <c r="K153" i="4"/>
  <c r="L153" i="4"/>
  <c r="N153" i="4"/>
  <c r="O153" i="4"/>
  <c r="P153" i="4"/>
  <c r="K154" i="4"/>
  <c r="L154" i="4"/>
  <c r="N154" i="4"/>
  <c r="O154" i="4"/>
  <c r="P154" i="4"/>
  <c r="K155" i="4"/>
  <c r="L155" i="4"/>
  <c r="N155" i="4"/>
  <c r="O155" i="4"/>
  <c r="P155" i="4"/>
  <c r="K156" i="4"/>
  <c r="L156" i="4"/>
  <c r="N156" i="4"/>
  <c r="O156" i="4"/>
  <c r="P156" i="4"/>
  <c r="K157" i="4"/>
  <c r="L157" i="4"/>
  <c r="N157" i="4"/>
  <c r="O157" i="4"/>
  <c r="P157" i="4"/>
  <c r="K158" i="4"/>
  <c r="L158" i="4"/>
  <c r="N158" i="4"/>
  <c r="O158" i="4"/>
  <c r="P158" i="4"/>
  <c r="K159" i="4"/>
  <c r="L159" i="4"/>
  <c r="N159" i="4"/>
  <c r="O159" i="4"/>
  <c r="P159" i="4"/>
  <c r="K160" i="4"/>
  <c r="L160" i="4"/>
  <c r="N160" i="4"/>
  <c r="O160" i="4"/>
  <c r="P160" i="4"/>
  <c r="K161" i="4"/>
  <c r="L161" i="4"/>
  <c r="N161" i="4"/>
  <c r="O161" i="4"/>
  <c r="P161" i="4"/>
  <c r="K162" i="4"/>
  <c r="L162" i="4"/>
  <c r="N162" i="4"/>
  <c r="O162" i="4"/>
  <c r="P162" i="4"/>
  <c r="K163" i="4"/>
  <c r="L163" i="4"/>
  <c r="N163" i="4"/>
  <c r="O163" i="4"/>
  <c r="P163" i="4"/>
  <c r="K164" i="4"/>
  <c r="L164" i="4"/>
  <c r="N164" i="4"/>
  <c r="O164" i="4"/>
  <c r="P164" i="4"/>
  <c r="K165" i="4"/>
  <c r="L165" i="4"/>
  <c r="N165" i="4"/>
  <c r="O165" i="4"/>
  <c r="P165" i="4"/>
  <c r="K166" i="4"/>
  <c r="L166" i="4"/>
  <c r="N166" i="4"/>
  <c r="O166" i="4"/>
  <c r="P166" i="4"/>
  <c r="K167" i="4"/>
  <c r="L167" i="4"/>
  <c r="N167" i="4"/>
  <c r="O167" i="4"/>
  <c r="P167" i="4"/>
  <c r="K168" i="4"/>
  <c r="L168" i="4"/>
  <c r="N168" i="4"/>
  <c r="O168" i="4"/>
  <c r="P168" i="4"/>
  <c r="K169" i="4"/>
  <c r="L169" i="4"/>
  <c r="N169" i="4"/>
  <c r="O169" i="4"/>
  <c r="P169" i="4"/>
  <c r="K170" i="4"/>
  <c r="L170" i="4"/>
  <c r="N170" i="4"/>
  <c r="O170" i="4"/>
  <c r="P170" i="4"/>
  <c r="K171" i="4"/>
  <c r="L171" i="4"/>
  <c r="N171" i="4"/>
  <c r="O171" i="4"/>
  <c r="P171" i="4"/>
  <c r="K172" i="4"/>
  <c r="L172" i="4"/>
  <c r="N172" i="4"/>
  <c r="O172" i="4"/>
  <c r="P172" i="4"/>
  <c r="K173" i="4"/>
  <c r="L173" i="4"/>
  <c r="N173" i="4"/>
  <c r="O173" i="4"/>
  <c r="P173" i="4"/>
  <c r="K174" i="4"/>
  <c r="L174" i="4"/>
  <c r="N174" i="4"/>
  <c r="O174" i="4"/>
  <c r="P174" i="4"/>
  <c r="K175" i="4"/>
  <c r="L175" i="4"/>
  <c r="N175" i="4"/>
  <c r="O175" i="4"/>
  <c r="P175" i="4"/>
  <c r="K176" i="4"/>
  <c r="L176" i="4"/>
  <c r="N176" i="4"/>
  <c r="O176" i="4"/>
  <c r="P176" i="4"/>
  <c r="K177" i="4"/>
  <c r="L177" i="4"/>
  <c r="N177" i="4"/>
  <c r="O177" i="4"/>
  <c r="P177" i="4"/>
  <c r="K178" i="4"/>
  <c r="L178" i="4"/>
  <c r="N178" i="4"/>
  <c r="O178" i="4"/>
  <c r="P178" i="4"/>
  <c r="K179" i="4"/>
  <c r="L179" i="4"/>
  <c r="N179" i="4"/>
  <c r="O179" i="4"/>
  <c r="P179" i="4"/>
  <c r="K180" i="4"/>
  <c r="L180" i="4"/>
  <c r="N180" i="4"/>
  <c r="O180" i="4"/>
  <c r="P180" i="4"/>
  <c r="K181" i="4"/>
  <c r="L181" i="4"/>
  <c r="N181" i="4"/>
  <c r="O181" i="4"/>
  <c r="P181" i="4"/>
  <c r="K182" i="4"/>
  <c r="L182" i="4"/>
  <c r="N182" i="4"/>
  <c r="O182" i="4"/>
  <c r="P182" i="4"/>
  <c r="K183" i="4"/>
  <c r="L183" i="4"/>
  <c r="N183" i="4"/>
  <c r="O183" i="4"/>
  <c r="P183" i="4"/>
  <c r="K184" i="4"/>
  <c r="L184" i="4"/>
  <c r="N184" i="4"/>
  <c r="O184" i="4"/>
  <c r="P184" i="4"/>
  <c r="K185" i="4"/>
  <c r="L185" i="4"/>
  <c r="N185" i="4"/>
  <c r="O185" i="4"/>
  <c r="P185" i="4"/>
  <c r="K186" i="4"/>
  <c r="L186" i="4"/>
  <c r="N186" i="4"/>
  <c r="O186" i="4"/>
  <c r="P186" i="4"/>
  <c r="K187" i="4"/>
  <c r="L187" i="4"/>
  <c r="N187" i="4"/>
  <c r="O187" i="4"/>
  <c r="P187" i="4"/>
  <c r="K188" i="4"/>
  <c r="L188" i="4"/>
  <c r="N188" i="4"/>
  <c r="O188" i="4"/>
  <c r="P188" i="4"/>
  <c r="K189" i="4"/>
  <c r="L189" i="4"/>
  <c r="N189" i="4"/>
  <c r="O189" i="4"/>
  <c r="P189" i="4"/>
  <c r="K190" i="4"/>
  <c r="L190" i="4"/>
  <c r="N190" i="4"/>
  <c r="O190" i="4"/>
  <c r="P190" i="4"/>
  <c r="K191" i="4"/>
  <c r="L191" i="4"/>
  <c r="N191" i="4"/>
  <c r="O191" i="4"/>
  <c r="P191" i="4"/>
  <c r="K192" i="4"/>
  <c r="L192" i="4"/>
  <c r="N192" i="4"/>
  <c r="O192" i="4"/>
  <c r="P192" i="4"/>
  <c r="K193" i="4"/>
  <c r="L193" i="4"/>
  <c r="N193" i="4"/>
  <c r="O193" i="4"/>
  <c r="P193" i="4"/>
  <c r="K194" i="4"/>
  <c r="L194" i="4"/>
  <c r="N194" i="4"/>
  <c r="O194" i="4"/>
  <c r="P194" i="4"/>
  <c r="K195" i="4"/>
  <c r="L195" i="4"/>
  <c r="N195" i="4"/>
  <c r="O195" i="4"/>
  <c r="P195" i="4"/>
  <c r="K196" i="4"/>
  <c r="L196" i="4"/>
  <c r="N196" i="4"/>
  <c r="O196" i="4"/>
  <c r="P196" i="4"/>
  <c r="K197" i="4"/>
  <c r="L197" i="4"/>
  <c r="N197" i="4"/>
  <c r="O197" i="4"/>
  <c r="P197" i="4"/>
  <c r="K198" i="4"/>
  <c r="L198" i="4"/>
  <c r="N198" i="4"/>
  <c r="O198" i="4"/>
  <c r="P198" i="4"/>
  <c r="K199" i="4"/>
  <c r="L199" i="4"/>
  <c r="N199" i="4"/>
  <c r="O199" i="4"/>
  <c r="P199" i="4"/>
  <c r="K200" i="4"/>
  <c r="L200" i="4"/>
  <c r="N200" i="4"/>
  <c r="O200" i="4"/>
  <c r="P200" i="4"/>
  <c r="K201" i="4"/>
  <c r="L201" i="4"/>
  <c r="N201" i="4"/>
  <c r="O201" i="4"/>
  <c r="P201" i="4"/>
  <c r="K202" i="4"/>
  <c r="L202" i="4"/>
  <c r="N202" i="4"/>
  <c r="O202" i="4"/>
  <c r="P202" i="4"/>
  <c r="K203" i="4"/>
  <c r="L203" i="4"/>
  <c r="N203" i="4"/>
  <c r="O203" i="4"/>
  <c r="P203" i="4"/>
  <c r="K204" i="4"/>
  <c r="L204" i="4"/>
  <c r="N204" i="4"/>
  <c r="O204" i="4"/>
  <c r="P204" i="4"/>
  <c r="K205" i="4"/>
  <c r="L205" i="4"/>
  <c r="N205" i="4"/>
  <c r="O205" i="4"/>
  <c r="P205" i="4"/>
  <c r="K206" i="4"/>
  <c r="L206" i="4"/>
  <c r="N206" i="4"/>
  <c r="O206" i="4"/>
  <c r="P206" i="4"/>
  <c r="K36" i="4"/>
  <c r="P36" i="4" s="1"/>
  <c r="L36" i="4"/>
  <c r="M36" i="4" s="1"/>
  <c r="N36" i="4"/>
  <c r="J36" i="4"/>
  <c r="I36" i="4"/>
  <c r="H36" i="4"/>
  <c r="H23" i="4"/>
  <c r="N23" i="4" s="1"/>
  <c r="H21" i="4"/>
  <c r="N21" i="4" s="1"/>
  <c r="C4" i="7"/>
  <c r="D4" i="7" s="1"/>
  <c r="C5" i="7"/>
  <c r="D5" i="7" s="1"/>
  <c r="C6" i="7"/>
  <c r="D6" i="7" s="1"/>
  <c r="C7" i="7"/>
  <c r="D7" i="7" s="1"/>
  <c r="C8" i="7"/>
  <c r="D8" i="7" s="1"/>
  <c r="C9" i="7"/>
  <c r="D9" i="7" s="1"/>
  <c r="C10" i="7"/>
  <c r="D10" i="7" s="1"/>
  <c r="C11" i="7"/>
  <c r="D11" i="7" s="1"/>
  <c r="C12" i="7"/>
  <c r="D12" i="7" s="1"/>
  <c r="C13" i="7"/>
  <c r="D13" i="7" s="1"/>
  <c r="C14" i="7"/>
  <c r="D14" i="7" s="1"/>
  <c r="C15" i="7"/>
  <c r="D15" i="7" s="1"/>
  <c r="C16" i="7"/>
  <c r="D16" i="7" s="1"/>
  <c r="C17" i="7"/>
  <c r="D17" i="7" s="1"/>
  <c r="C18" i="7"/>
  <c r="D18" i="7" s="1"/>
  <c r="C19" i="7"/>
  <c r="D19" i="7" s="1"/>
  <c r="C20" i="7"/>
  <c r="D20" i="7" s="1"/>
  <c r="C21" i="7"/>
  <c r="D21" i="7" s="1"/>
  <c r="C22" i="7"/>
  <c r="D22" i="7" s="1"/>
  <c r="C23" i="7"/>
  <c r="D23" i="7" s="1"/>
  <c r="C24" i="7"/>
  <c r="D24" i="7" s="1"/>
  <c r="C25" i="7"/>
  <c r="D25" i="7" s="1"/>
  <c r="C26" i="7"/>
  <c r="D26" i="7" s="1"/>
  <c r="C27" i="7"/>
  <c r="D27" i="7" s="1"/>
  <c r="C28" i="7"/>
  <c r="D28" i="7" s="1"/>
  <c r="C29" i="7"/>
  <c r="D29" i="7" s="1"/>
  <c r="C30" i="7"/>
  <c r="D30" i="7" s="1"/>
  <c r="C31" i="7"/>
  <c r="D31" i="7" s="1"/>
  <c r="C32" i="7"/>
  <c r="D32" i="7" s="1"/>
  <c r="C33" i="7"/>
  <c r="D33" i="7" s="1"/>
  <c r="C34" i="7"/>
  <c r="D34" i="7" s="1"/>
  <c r="C35" i="7"/>
  <c r="D35" i="7" s="1"/>
  <c r="C36" i="7"/>
  <c r="D36" i="7" s="1"/>
  <c r="C37" i="7"/>
  <c r="D37" i="7" s="1"/>
  <c r="C38" i="7"/>
  <c r="D38" i="7" s="1"/>
  <c r="C39" i="7"/>
  <c r="D39" i="7" s="1"/>
  <c r="C40" i="7"/>
  <c r="D40" i="7" s="1"/>
  <c r="C41" i="7"/>
  <c r="D41" i="7" s="1"/>
  <c r="C42" i="7"/>
  <c r="D42" i="7" s="1"/>
  <c r="C43" i="7"/>
  <c r="D43" i="7" s="1"/>
  <c r="C44" i="7"/>
  <c r="D44" i="7" s="1"/>
  <c r="C45" i="7"/>
  <c r="D45" i="7" s="1"/>
  <c r="C46" i="7"/>
  <c r="D46" i="7" s="1"/>
  <c r="C47" i="7"/>
  <c r="D47" i="7" s="1"/>
  <c r="C48" i="7"/>
  <c r="D48" i="7" s="1"/>
  <c r="C49" i="7"/>
  <c r="D49" i="7" s="1"/>
  <c r="C50" i="7"/>
  <c r="D50" i="7" s="1"/>
  <c r="C51" i="7"/>
  <c r="D51" i="7" s="1"/>
  <c r="C52" i="7"/>
  <c r="D52" i="7" s="1"/>
  <c r="C53" i="7"/>
  <c r="D53" i="7" s="1"/>
  <c r="C54" i="7"/>
  <c r="D54" i="7" s="1"/>
  <c r="C55" i="7"/>
  <c r="D55" i="7" s="1"/>
  <c r="C56" i="7"/>
  <c r="D56" i="7" s="1"/>
  <c r="C57" i="7"/>
  <c r="D57" i="7" s="1"/>
  <c r="C58" i="7"/>
  <c r="D58" i="7" s="1"/>
  <c r="C59" i="7"/>
  <c r="D59" i="7" s="1"/>
  <c r="C60" i="7"/>
  <c r="D60" i="7" s="1"/>
  <c r="C61" i="7"/>
  <c r="D61" i="7" s="1"/>
  <c r="C62" i="7"/>
  <c r="D62" i="7" s="1"/>
  <c r="C63" i="7"/>
  <c r="D63" i="7" s="1"/>
  <c r="C64" i="7"/>
  <c r="D64" i="7" s="1"/>
  <c r="C65" i="7"/>
  <c r="D65" i="7" s="1"/>
  <c r="C66" i="7"/>
  <c r="D66" i="7" s="1"/>
  <c r="C67" i="7"/>
  <c r="D67" i="7" s="1"/>
  <c r="C68" i="7"/>
  <c r="D68" i="7" s="1"/>
  <c r="C69" i="7"/>
  <c r="D69" i="7" s="1"/>
  <c r="C70" i="7"/>
  <c r="D70" i="7" s="1"/>
  <c r="C71" i="7"/>
  <c r="D71" i="7" s="1"/>
  <c r="C72" i="7"/>
  <c r="D72" i="7" s="1"/>
  <c r="C73" i="7"/>
  <c r="D73" i="7" s="1"/>
  <c r="C74" i="7"/>
  <c r="D74" i="7" s="1"/>
  <c r="C75" i="7"/>
  <c r="D75" i="7" s="1"/>
  <c r="C76" i="7"/>
  <c r="D76" i="7" s="1"/>
  <c r="C77" i="7"/>
  <c r="D77" i="7" s="1"/>
  <c r="C78" i="7"/>
  <c r="D78" i="7" s="1"/>
  <c r="C79" i="7"/>
  <c r="D79" i="7" s="1"/>
  <c r="C80" i="7"/>
  <c r="D80" i="7" s="1"/>
  <c r="C81" i="7"/>
  <c r="D81" i="7" s="1"/>
  <c r="C82" i="7"/>
  <c r="D82" i="7" s="1"/>
  <c r="C83" i="7"/>
  <c r="D83" i="7" s="1"/>
  <c r="C84" i="7"/>
  <c r="D84" i="7" s="1"/>
  <c r="C85" i="7"/>
  <c r="D85" i="7" s="1"/>
  <c r="C86" i="7"/>
  <c r="D86" i="7" s="1"/>
  <c r="C87" i="7"/>
  <c r="D87" i="7" s="1"/>
  <c r="C88" i="7"/>
  <c r="D88" i="7" s="1"/>
  <c r="C89" i="7"/>
  <c r="D89" i="7" s="1"/>
  <c r="C90" i="7"/>
  <c r="D90" i="7"/>
  <c r="C91" i="7"/>
  <c r="D91" i="7" s="1"/>
  <c r="C92" i="7"/>
  <c r="D92" i="7" s="1"/>
  <c r="C93" i="7"/>
  <c r="D93" i="7" s="1"/>
  <c r="C94" i="7"/>
  <c r="D94" i="7" s="1"/>
  <c r="C95" i="7"/>
  <c r="D95" i="7" s="1"/>
  <c r="C96" i="7"/>
  <c r="D96" i="7" s="1"/>
  <c r="C97" i="7"/>
  <c r="D97" i="7" s="1"/>
  <c r="C98" i="7"/>
  <c r="D98" i="7" s="1"/>
  <c r="C99" i="7"/>
  <c r="D99" i="7" s="1"/>
  <c r="C100" i="7"/>
  <c r="D100" i="7" s="1"/>
  <c r="C101" i="7"/>
  <c r="D101" i="7" s="1"/>
  <c r="C102" i="7"/>
  <c r="D102" i="7" s="1"/>
  <c r="C103" i="7"/>
  <c r="D103" i="7" s="1"/>
  <c r="C104" i="7"/>
  <c r="D104" i="7" s="1"/>
  <c r="C105" i="7"/>
  <c r="D105" i="7" s="1"/>
  <c r="C106" i="7"/>
  <c r="D106" i="7" s="1"/>
  <c r="C107" i="7"/>
  <c r="D107" i="7" s="1"/>
  <c r="C108" i="7"/>
  <c r="D108" i="7" s="1"/>
  <c r="C109" i="7"/>
  <c r="D109" i="7" s="1"/>
  <c r="C110" i="7"/>
  <c r="D110" i="7" s="1"/>
  <c r="C111" i="7"/>
  <c r="D111" i="7" s="1"/>
  <c r="C112" i="7"/>
  <c r="D112" i="7" s="1"/>
  <c r="C113" i="7"/>
  <c r="D113" i="7" s="1"/>
  <c r="C114" i="7"/>
  <c r="D114" i="7" s="1"/>
  <c r="C115" i="7"/>
  <c r="D115" i="7" s="1"/>
  <c r="C116" i="7"/>
  <c r="D116" i="7" s="1"/>
  <c r="C117" i="7"/>
  <c r="D117" i="7" s="1"/>
  <c r="C118" i="7"/>
  <c r="D118" i="7" s="1"/>
  <c r="C119" i="7"/>
  <c r="D119" i="7" s="1"/>
  <c r="C120" i="7"/>
  <c r="D120" i="7" s="1"/>
  <c r="C121" i="7"/>
  <c r="D121" i="7" s="1"/>
  <c r="C122" i="7"/>
  <c r="D122" i="7" s="1"/>
  <c r="C123" i="7"/>
  <c r="D123" i="7" s="1"/>
  <c r="C124" i="7"/>
  <c r="D124" i="7" s="1"/>
  <c r="C125" i="7"/>
  <c r="D125" i="7" s="1"/>
  <c r="C126" i="7"/>
  <c r="D126" i="7" s="1"/>
  <c r="C127" i="7"/>
  <c r="D127" i="7" s="1"/>
  <c r="C128" i="7"/>
  <c r="D128" i="7" s="1"/>
  <c r="C129" i="7"/>
  <c r="D129" i="7" s="1"/>
  <c r="C130" i="7"/>
  <c r="D130" i="7" s="1"/>
  <c r="C131" i="7"/>
  <c r="D131" i="7" s="1"/>
  <c r="C132" i="7"/>
  <c r="D132" i="7" s="1"/>
  <c r="C133" i="7"/>
  <c r="D133" i="7" s="1"/>
  <c r="C134" i="7"/>
  <c r="D134" i="7" s="1"/>
  <c r="C135" i="7"/>
  <c r="D135" i="7" s="1"/>
  <c r="C136" i="7"/>
  <c r="D136" i="7" s="1"/>
  <c r="C137" i="7"/>
  <c r="D137" i="7" s="1"/>
  <c r="C138" i="7"/>
  <c r="D138" i="7" s="1"/>
  <c r="C139" i="7"/>
  <c r="D139" i="7" s="1"/>
  <c r="C140" i="7"/>
  <c r="D140" i="7" s="1"/>
  <c r="C141" i="7"/>
  <c r="D141" i="7" s="1"/>
  <c r="C142" i="7"/>
  <c r="D142" i="7" s="1"/>
  <c r="C143" i="7"/>
  <c r="D143" i="7" s="1"/>
  <c r="C144" i="7"/>
  <c r="D144" i="7" s="1"/>
  <c r="C145" i="7"/>
  <c r="D145" i="7" s="1"/>
  <c r="C146" i="7"/>
  <c r="D146" i="7" s="1"/>
  <c r="C147" i="7"/>
  <c r="D147" i="7" s="1"/>
  <c r="C148" i="7"/>
  <c r="D148" i="7" s="1"/>
  <c r="C149" i="7"/>
  <c r="D149" i="7" s="1"/>
  <c r="C150" i="7"/>
  <c r="D150" i="7" s="1"/>
  <c r="C151" i="7"/>
  <c r="D151" i="7" s="1"/>
  <c r="C152" i="7"/>
  <c r="D152" i="7" s="1"/>
  <c r="C153" i="7"/>
  <c r="D153" i="7" s="1"/>
  <c r="C154" i="7"/>
  <c r="D154" i="7" s="1"/>
  <c r="C155" i="7"/>
  <c r="D155" i="7" s="1"/>
  <c r="C156" i="7"/>
  <c r="D156" i="7" s="1"/>
  <c r="C157" i="7"/>
  <c r="D157" i="7" s="1"/>
  <c r="C158" i="7"/>
  <c r="D158" i="7" s="1"/>
  <c r="C159" i="7"/>
  <c r="D159" i="7" s="1"/>
  <c r="C160" i="7"/>
  <c r="D160" i="7" s="1"/>
  <c r="C161" i="7"/>
  <c r="D161" i="7" s="1"/>
  <c r="C162" i="7"/>
  <c r="D162" i="7" s="1"/>
  <c r="C163" i="7"/>
  <c r="D163" i="7" s="1"/>
  <c r="C164" i="7"/>
  <c r="D164" i="7" s="1"/>
  <c r="C165" i="7"/>
  <c r="D165" i="7" s="1"/>
  <c r="C166" i="7"/>
  <c r="D166" i="7" s="1"/>
  <c r="C167" i="7"/>
  <c r="D167" i="7" s="1"/>
  <c r="C168" i="7"/>
  <c r="D168" i="7" s="1"/>
  <c r="C169" i="7"/>
  <c r="D169" i="7" s="1"/>
  <c r="C170" i="7"/>
  <c r="D170" i="7" s="1"/>
  <c r="C171" i="7"/>
  <c r="D171" i="7" s="1"/>
  <c r="C172" i="7"/>
  <c r="D172" i="7" s="1"/>
  <c r="C173" i="7"/>
  <c r="D173" i="7" s="1"/>
  <c r="C174" i="7"/>
  <c r="D174" i="7" s="1"/>
  <c r="C175" i="7"/>
  <c r="D175" i="7" s="1"/>
  <c r="C176" i="7"/>
  <c r="D176" i="7" s="1"/>
  <c r="C177" i="7"/>
  <c r="D177" i="7" s="1"/>
  <c r="C178" i="7"/>
  <c r="D178" i="7" s="1"/>
  <c r="C179" i="7"/>
  <c r="D179" i="7" s="1"/>
  <c r="C180" i="7"/>
  <c r="D180" i="7" s="1"/>
  <c r="C181" i="7"/>
  <c r="D181" i="7" s="1"/>
  <c r="C182" i="7"/>
  <c r="D182" i="7" s="1"/>
  <c r="C183" i="7"/>
  <c r="D183" i="7" s="1"/>
  <c r="C184" i="7"/>
  <c r="D184" i="7" s="1"/>
  <c r="C185" i="7"/>
  <c r="D185" i="7" s="1"/>
  <c r="C186" i="7"/>
  <c r="D186" i="7" s="1"/>
  <c r="C187" i="7"/>
  <c r="D187" i="7" s="1"/>
  <c r="C188" i="7"/>
  <c r="D188" i="7" s="1"/>
  <c r="C189" i="7"/>
  <c r="D189" i="7" s="1"/>
  <c r="C190" i="7"/>
  <c r="D190" i="7" s="1"/>
  <c r="C191" i="7"/>
  <c r="D191" i="7" s="1"/>
  <c r="C192" i="7"/>
  <c r="D192" i="7" s="1"/>
  <c r="C193" i="7"/>
  <c r="D193" i="7" s="1"/>
  <c r="C194" i="7"/>
  <c r="D194" i="7" s="1"/>
  <c r="C195" i="7"/>
  <c r="D195" i="7" s="1"/>
  <c r="C196" i="7"/>
  <c r="D196" i="7" s="1"/>
  <c r="C197" i="7"/>
  <c r="D197" i="7" s="1"/>
  <c r="C198" i="7"/>
  <c r="D198" i="7" s="1"/>
  <c r="C199" i="7"/>
  <c r="D199" i="7" s="1"/>
  <c r="C200" i="7"/>
  <c r="D200" i="7" s="1"/>
  <c r="C201" i="7"/>
  <c r="D201" i="7" s="1"/>
  <c r="C202" i="7"/>
  <c r="D202" i="7" s="1"/>
  <c r="C203" i="7"/>
  <c r="D203" i="7" s="1"/>
  <c r="H4" i="4"/>
  <c r="N4" i="4" s="1"/>
  <c r="H5" i="4"/>
  <c r="N5" i="4" s="1"/>
  <c r="H6" i="4"/>
  <c r="N6" i="4" s="1"/>
  <c r="H7" i="4"/>
  <c r="N7" i="4" s="1"/>
  <c r="H8" i="4"/>
  <c r="J8" i="4" s="1"/>
  <c r="H9" i="4"/>
  <c r="N9" i="4" s="1"/>
  <c r="H10" i="4"/>
  <c r="H11" i="4"/>
  <c r="I11" i="4" s="1"/>
  <c r="H12" i="4"/>
  <c r="N12" i="4" s="1"/>
  <c r="H13" i="4"/>
  <c r="H14" i="4"/>
  <c r="N14" i="4" s="1"/>
  <c r="H15" i="4"/>
  <c r="J15" i="4" s="1"/>
  <c r="H16" i="4"/>
  <c r="H17" i="4"/>
  <c r="J17" i="4" s="1"/>
  <c r="H18" i="4"/>
  <c r="J18" i="4" s="1"/>
  <c r="H19" i="4"/>
  <c r="N19" i="4" s="1"/>
  <c r="H20" i="4"/>
  <c r="H22" i="4"/>
  <c r="N22" i="4" s="1"/>
  <c r="H24" i="4"/>
  <c r="N24" i="4" s="1"/>
  <c r="H25" i="4"/>
  <c r="J25" i="4" s="1"/>
  <c r="H26" i="4"/>
  <c r="N26" i="4" s="1"/>
  <c r="H27" i="4"/>
  <c r="J27" i="4" s="1"/>
  <c r="H28" i="4"/>
  <c r="I28" i="4" s="1"/>
  <c r="H29" i="4"/>
  <c r="N29" i="4" s="1"/>
  <c r="H30" i="4"/>
  <c r="N30" i="4" s="1"/>
  <c r="H31" i="4"/>
  <c r="J31" i="4" s="1"/>
  <c r="H32" i="4"/>
  <c r="N32" i="4" s="1"/>
  <c r="H33" i="4"/>
  <c r="H34" i="4"/>
  <c r="N34" i="4" s="1"/>
  <c r="H35" i="4"/>
  <c r="J35" i="4" s="1"/>
  <c r="H37" i="4"/>
  <c r="H38" i="4"/>
  <c r="H39" i="4"/>
  <c r="N39" i="4" s="1"/>
  <c r="H40" i="4"/>
  <c r="H41" i="4"/>
  <c r="O41" i="4" s="1"/>
  <c r="H42" i="4"/>
  <c r="N42" i="4" s="1"/>
  <c r="H43" i="4"/>
  <c r="I43" i="4" s="1"/>
  <c r="H44" i="4"/>
  <c r="J44" i="4" s="1"/>
  <c r="H45" i="4"/>
  <c r="O45" i="4" s="1"/>
  <c r="H46" i="4"/>
  <c r="N46" i="4" s="1"/>
  <c r="H47" i="4"/>
  <c r="N47" i="4" s="1"/>
  <c r="H48" i="4"/>
  <c r="J48" i="4" s="1"/>
  <c r="H49" i="4"/>
  <c r="J49" i="4" s="1"/>
  <c r="H50" i="4"/>
  <c r="J50" i="4" s="1"/>
  <c r="H51" i="4"/>
  <c r="H52" i="4"/>
  <c r="J52" i="4" s="1"/>
  <c r="H53" i="4"/>
  <c r="H54" i="4"/>
  <c r="H55" i="4"/>
  <c r="H56" i="4"/>
  <c r="H57" i="4"/>
  <c r="H58" i="4"/>
  <c r="H59" i="4"/>
  <c r="H60" i="4"/>
  <c r="J60" i="4" s="1"/>
  <c r="H61" i="4"/>
  <c r="H62" i="4"/>
  <c r="H63" i="4"/>
  <c r="H64" i="4"/>
  <c r="H65" i="4"/>
  <c r="J65" i="4" s="1"/>
  <c r="H66" i="4"/>
  <c r="J66" i="4" s="1"/>
  <c r="H67" i="4"/>
  <c r="H68" i="4"/>
  <c r="J68" i="4" s="1"/>
  <c r="H69" i="4"/>
  <c r="H70" i="4"/>
  <c r="H71" i="4"/>
  <c r="H72" i="4"/>
  <c r="J72" i="4" s="1"/>
  <c r="H73" i="4"/>
  <c r="H74" i="4"/>
  <c r="H75" i="4"/>
  <c r="H76" i="4"/>
  <c r="J76" i="4" s="1"/>
  <c r="H77" i="4"/>
  <c r="H78" i="4"/>
  <c r="H79" i="4"/>
  <c r="H80" i="4"/>
  <c r="H81" i="4"/>
  <c r="J81" i="4" s="1"/>
  <c r="H82" i="4"/>
  <c r="J82" i="4" s="1"/>
  <c r="H83" i="4"/>
  <c r="H84" i="4"/>
  <c r="J84" i="4" s="1"/>
  <c r="H85" i="4"/>
  <c r="H86" i="4"/>
  <c r="H87" i="4"/>
  <c r="H88" i="4"/>
  <c r="H89" i="4"/>
  <c r="H90" i="4"/>
  <c r="H91" i="4"/>
  <c r="H92" i="4"/>
  <c r="J92" i="4" s="1"/>
  <c r="H93" i="4"/>
  <c r="H94" i="4"/>
  <c r="H95" i="4"/>
  <c r="H96" i="4"/>
  <c r="S96" i="4" s="1"/>
  <c r="H97" i="4"/>
  <c r="J97" i="4" s="1"/>
  <c r="H98" i="4"/>
  <c r="J98" i="4" s="1"/>
  <c r="H99" i="4"/>
  <c r="H100" i="4"/>
  <c r="I100" i="4" s="1"/>
  <c r="H101" i="4"/>
  <c r="H102" i="4"/>
  <c r="H103" i="4"/>
  <c r="H104" i="4"/>
  <c r="H105" i="4"/>
  <c r="H106" i="4"/>
  <c r="H107" i="4"/>
  <c r="H108" i="4"/>
  <c r="J108" i="4" s="1"/>
  <c r="H109" i="4"/>
  <c r="H110" i="4"/>
  <c r="H111" i="4"/>
  <c r="H112" i="4"/>
  <c r="H113" i="4"/>
  <c r="J113" i="4" s="1"/>
  <c r="H114" i="4"/>
  <c r="J114" i="4" s="1"/>
  <c r="H115" i="4"/>
  <c r="H116" i="4"/>
  <c r="I116" i="4" s="1"/>
  <c r="H117" i="4"/>
  <c r="H118" i="4"/>
  <c r="H119" i="4"/>
  <c r="H120" i="4"/>
  <c r="H121" i="4"/>
  <c r="H122" i="4"/>
  <c r="H123" i="4"/>
  <c r="H124" i="4"/>
  <c r="J124" i="4" s="1"/>
  <c r="H125" i="4"/>
  <c r="H126" i="4"/>
  <c r="H127" i="4"/>
  <c r="H128" i="4"/>
  <c r="H129" i="4"/>
  <c r="J129" i="4" s="1"/>
  <c r="H130" i="4"/>
  <c r="J130" i="4" s="1"/>
  <c r="H131" i="4"/>
  <c r="H132" i="4"/>
  <c r="I132" i="4" s="1"/>
  <c r="H133" i="4"/>
  <c r="H134" i="4"/>
  <c r="H135" i="4"/>
  <c r="H136" i="4"/>
  <c r="S136" i="4" s="1"/>
  <c r="H137" i="4"/>
  <c r="H138" i="4"/>
  <c r="H139" i="4"/>
  <c r="H140" i="4"/>
  <c r="J140" i="4" s="1"/>
  <c r="H141" i="4"/>
  <c r="H142" i="4"/>
  <c r="H143" i="4"/>
  <c r="H144" i="4"/>
  <c r="H145" i="4"/>
  <c r="J145" i="4" s="1"/>
  <c r="H146" i="4"/>
  <c r="J146" i="4" s="1"/>
  <c r="H147" i="4"/>
  <c r="H148" i="4"/>
  <c r="I148" i="4" s="1"/>
  <c r="H149" i="4"/>
  <c r="H150" i="4"/>
  <c r="H151" i="4"/>
  <c r="H152" i="4"/>
  <c r="H153" i="4"/>
  <c r="H154" i="4"/>
  <c r="H155" i="4"/>
  <c r="H156" i="4"/>
  <c r="J156" i="4" s="1"/>
  <c r="H157" i="4"/>
  <c r="H158" i="4"/>
  <c r="H159" i="4"/>
  <c r="H160" i="4"/>
  <c r="S160" i="4" s="1"/>
  <c r="H161" i="4"/>
  <c r="J161" i="4" s="1"/>
  <c r="H162" i="4"/>
  <c r="J162" i="4" s="1"/>
  <c r="H163" i="4"/>
  <c r="H164" i="4"/>
  <c r="I164" i="4" s="1"/>
  <c r="H165" i="4"/>
  <c r="H166" i="4"/>
  <c r="H167" i="4"/>
  <c r="H168" i="4"/>
  <c r="H169" i="4"/>
  <c r="H170" i="4"/>
  <c r="H171" i="4"/>
  <c r="H172" i="4"/>
  <c r="J172" i="4" s="1"/>
  <c r="H173" i="4"/>
  <c r="H174" i="4"/>
  <c r="H175" i="4"/>
  <c r="H176" i="4"/>
  <c r="H177" i="4"/>
  <c r="J177" i="4" s="1"/>
  <c r="H178" i="4"/>
  <c r="J178" i="4" s="1"/>
  <c r="H179" i="4"/>
  <c r="H180" i="4"/>
  <c r="H181" i="4"/>
  <c r="H182" i="4"/>
  <c r="H183" i="4"/>
  <c r="H184" i="4"/>
  <c r="S184" i="4" s="1"/>
  <c r="H185" i="4"/>
  <c r="H186" i="4"/>
  <c r="H187" i="4"/>
  <c r="H188" i="4"/>
  <c r="J188" i="4" s="1"/>
  <c r="H189" i="4"/>
  <c r="H190" i="4"/>
  <c r="H191" i="4"/>
  <c r="H192" i="4"/>
  <c r="S192" i="4" s="1"/>
  <c r="H193" i="4"/>
  <c r="J193" i="4" s="1"/>
  <c r="H194" i="4"/>
  <c r="J194" i="4" s="1"/>
  <c r="H195" i="4"/>
  <c r="H196" i="4"/>
  <c r="S196" i="4" s="1"/>
  <c r="H197" i="4"/>
  <c r="H198" i="4"/>
  <c r="H199" i="4"/>
  <c r="H200" i="4"/>
  <c r="H201" i="4"/>
  <c r="H202" i="4"/>
  <c r="H203" i="4"/>
  <c r="H204" i="4"/>
  <c r="J204" i="4" s="1"/>
  <c r="H205" i="4"/>
  <c r="H206" i="4"/>
  <c r="B4" i="8"/>
  <c r="B5" i="8"/>
  <c r="F4" i="6"/>
  <c r="C5" i="6"/>
  <c r="F5" i="6"/>
  <c r="F6" i="6"/>
  <c r="F7" i="6"/>
  <c r="F8" i="6"/>
  <c r="C9" i="6"/>
  <c r="E9" i="6" s="1"/>
  <c r="F9" i="6"/>
  <c r="C10" i="6"/>
  <c r="E10" i="6" s="1"/>
  <c r="F10" i="6"/>
  <c r="C11" i="6"/>
  <c r="E11" i="6" s="1"/>
  <c r="F11" i="6"/>
  <c r="J4" i="4"/>
  <c r="J13" i="4"/>
  <c r="J14" i="4"/>
  <c r="J20" i="4"/>
  <c r="J24" i="4"/>
  <c r="J26" i="4"/>
  <c r="J38" i="4"/>
  <c r="J39" i="4"/>
  <c r="J47" i="4"/>
  <c r="J53" i="4"/>
  <c r="J54" i="4"/>
  <c r="J56" i="4"/>
  <c r="J67" i="4"/>
  <c r="J69" i="4"/>
  <c r="J79" i="4"/>
  <c r="J85" i="4"/>
  <c r="J86" i="4"/>
  <c r="J94" i="4"/>
  <c r="J95" i="4"/>
  <c r="J99" i="4"/>
  <c r="J101" i="4"/>
  <c r="J103" i="4"/>
  <c r="J115" i="4"/>
  <c r="J117" i="4"/>
  <c r="J127" i="4"/>
  <c r="J128" i="4"/>
  <c r="J131" i="4"/>
  <c r="J141" i="4"/>
  <c r="J143" i="4"/>
  <c r="J144" i="4"/>
  <c r="J157" i="4"/>
  <c r="J159" i="4"/>
  <c r="J163" i="4"/>
  <c r="J173" i="4"/>
  <c r="J174" i="4"/>
  <c r="J176" i="4"/>
  <c r="J187" i="4"/>
  <c r="J190" i="4"/>
  <c r="J191" i="4"/>
  <c r="J192" i="4"/>
  <c r="J202" i="4"/>
  <c r="J206" i="4"/>
  <c r="D9" i="6"/>
  <c r="D10" i="6"/>
  <c r="D11" i="6"/>
  <c r="S205" i="4"/>
  <c r="I205" i="4"/>
  <c r="S203" i="4"/>
  <c r="S202" i="4"/>
  <c r="S194" i="4"/>
  <c r="I194" i="4"/>
  <c r="S193" i="4"/>
  <c r="S191" i="4"/>
  <c r="I191" i="4"/>
  <c r="S187" i="4"/>
  <c r="S186" i="4"/>
  <c r="I186" i="4"/>
  <c r="S181" i="4"/>
  <c r="S178" i="4"/>
  <c r="I178" i="4"/>
  <c r="S177" i="4"/>
  <c r="S176" i="4"/>
  <c r="I176" i="4"/>
  <c r="S175" i="4"/>
  <c r="I175" i="4"/>
  <c r="S172" i="4"/>
  <c r="S171" i="4"/>
  <c r="S164" i="4"/>
  <c r="S163" i="4"/>
  <c r="S162" i="4"/>
  <c r="I162" i="4"/>
  <c r="S161" i="4"/>
  <c r="S159" i="4"/>
  <c r="I159" i="4"/>
  <c r="S157" i="4"/>
  <c r="I157" i="4"/>
  <c r="S155" i="4"/>
  <c r="S154" i="4"/>
  <c r="S148" i="4"/>
  <c r="S147" i="4"/>
  <c r="S146" i="4"/>
  <c r="I146" i="4"/>
  <c r="S145" i="4"/>
  <c r="S144" i="4"/>
  <c r="I144" i="4"/>
  <c r="S143" i="4"/>
  <c r="I143" i="4"/>
  <c r="I142" i="4"/>
  <c r="I141" i="4"/>
  <c r="S140" i="4"/>
  <c r="S139" i="4"/>
  <c r="S135" i="4"/>
  <c r="I135" i="4"/>
  <c r="I133" i="4"/>
  <c r="S132" i="4"/>
  <c r="S131" i="4"/>
  <c r="I131" i="4"/>
  <c r="S130" i="4"/>
  <c r="I130" i="4"/>
  <c r="S129" i="4"/>
  <c r="S128" i="4"/>
  <c r="I128" i="4"/>
  <c r="S127" i="4"/>
  <c r="I127" i="4"/>
  <c r="I126" i="4"/>
  <c r="S125" i="4"/>
  <c r="I125" i="4"/>
  <c r="S124" i="4"/>
  <c r="S122" i="4"/>
  <c r="I120" i="4"/>
  <c r="I118" i="4"/>
  <c r="S117" i="4"/>
  <c r="I117" i="4"/>
  <c r="S116" i="4"/>
  <c r="S115" i="4"/>
  <c r="I115" i="4"/>
  <c r="S114" i="4"/>
  <c r="I114" i="4"/>
  <c r="S113" i="4"/>
  <c r="S112" i="4"/>
  <c r="I112" i="4"/>
  <c r="S111" i="4"/>
  <c r="I111" i="4"/>
  <c r="S109" i="4"/>
  <c r="I109" i="4"/>
  <c r="S104" i="4"/>
  <c r="I104" i="4"/>
  <c r="S103" i="4"/>
  <c r="I103" i="4"/>
  <c r="S102" i="4"/>
  <c r="I102" i="4"/>
  <c r="S101" i="4"/>
  <c r="I101" i="4"/>
  <c r="S100" i="4"/>
  <c r="S99" i="4"/>
  <c r="I99" i="4"/>
  <c r="S98" i="4"/>
  <c r="I98" i="4"/>
  <c r="S95" i="4"/>
  <c r="I95" i="4"/>
  <c r="S94" i="4"/>
  <c r="I94" i="4"/>
  <c r="S93" i="4"/>
  <c r="I93" i="4"/>
  <c r="S88" i="4"/>
  <c r="I88" i="4"/>
  <c r="S87" i="4"/>
  <c r="I87" i="4"/>
  <c r="S86" i="4"/>
  <c r="I86" i="4"/>
  <c r="S85" i="4"/>
  <c r="I85" i="4"/>
  <c r="S84" i="4"/>
  <c r="I84" i="4"/>
  <c r="S82" i="4"/>
  <c r="I82" i="4"/>
  <c r="S81" i="4"/>
  <c r="S80" i="4"/>
  <c r="I80" i="4"/>
  <c r="S79" i="4"/>
  <c r="I79" i="4"/>
  <c r="S78" i="4"/>
  <c r="I78" i="4"/>
  <c r="I77" i="4"/>
  <c r="S76" i="4"/>
  <c r="I76" i="4"/>
  <c r="I74" i="4"/>
  <c r="I72" i="4"/>
  <c r="S71" i="4"/>
  <c r="I71" i="4"/>
  <c r="S69" i="4"/>
  <c r="I69" i="4"/>
  <c r="S68" i="4"/>
  <c r="I68" i="4"/>
  <c r="S67" i="4"/>
  <c r="I67" i="4"/>
  <c r="S66" i="4"/>
  <c r="I66" i="4"/>
  <c r="S65" i="4"/>
  <c r="S64" i="4"/>
  <c r="I64" i="4"/>
  <c r="I63" i="4"/>
  <c r="S62" i="4"/>
  <c r="I62" i="4"/>
  <c r="I59" i="4"/>
  <c r="S56" i="4"/>
  <c r="I56" i="4"/>
  <c r="S55" i="4"/>
  <c r="I55" i="4"/>
  <c r="S54" i="4"/>
  <c r="I54" i="4"/>
  <c r="S53" i="4"/>
  <c r="I53" i="4"/>
  <c r="S52" i="4"/>
  <c r="I52" i="4"/>
  <c r="S51" i="4"/>
  <c r="I51" i="4"/>
  <c r="S49" i="4"/>
  <c r="I49" i="4"/>
  <c r="I47" i="4"/>
  <c r="I42" i="4"/>
  <c r="I41" i="4"/>
  <c r="S40" i="4"/>
  <c r="I40" i="4"/>
  <c r="I39" i="4"/>
  <c r="O39" i="4" s="1"/>
  <c r="I38" i="4"/>
  <c r="I37" i="4"/>
  <c r="I35" i="4"/>
  <c r="I30" i="4"/>
  <c r="I29" i="4"/>
  <c r="I26" i="4"/>
  <c r="I24" i="4"/>
  <c r="K22" i="4"/>
  <c r="I22" i="4"/>
  <c r="K20" i="4"/>
  <c r="P20" i="4" s="1"/>
  <c r="S20" i="4" s="1"/>
  <c r="I20" i="4"/>
  <c r="K19" i="4"/>
  <c r="P19" i="4" s="1"/>
  <c r="I19" i="4"/>
  <c r="I18" i="4"/>
  <c r="K17" i="4"/>
  <c r="I16" i="4"/>
  <c r="K15" i="4"/>
  <c r="P15" i="4" s="1"/>
  <c r="L15" i="4"/>
  <c r="K14" i="4"/>
  <c r="M14" i="4" s="1"/>
  <c r="L14" i="4"/>
  <c r="I14" i="4"/>
  <c r="I13" i="4"/>
  <c r="I12" i="4"/>
  <c r="K11" i="4"/>
  <c r="P11" i="4" s="1"/>
  <c r="K10" i="4"/>
  <c r="K9" i="4"/>
  <c r="P9" i="4" s="1"/>
  <c r="K8" i="4"/>
  <c r="P8" i="4" s="1"/>
  <c r="I8" i="4"/>
  <c r="K7" i="4"/>
  <c r="P7" i="4" s="1"/>
  <c r="K6" i="4"/>
  <c r="P6" i="4" s="1"/>
  <c r="L6" i="4"/>
  <c r="I6" i="4"/>
  <c r="K5" i="4"/>
  <c r="M5" i="4" s="1"/>
  <c r="L5" i="4"/>
  <c r="I5" i="4"/>
  <c r="K4" i="4"/>
  <c r="P4" i="4" s="1"/>
  <c r="L4" i="4"/>
  <c r="I4" i="4"/>
  <c r="P48" i="4" l="1"/>
  <c r="N48" i="4"/>
  <c r="M196" i="4"/>
  <c r="J46" i="4"/>
  <c r="P47" i="4"/>
  <c r="S47" i="4" s="1"/>
  <c r="O47" i="4"/>
  <c r="Q195" i="4"/>
  <c r="M56" i="4"/>
  <c r="P44" i="4"/>
  <c r="S44" i="4"/>
  <c r="N44" i="4"/>
  <c r="I44" i="4"/>
  <c r="O44" i="4" s="1"/>
  <c r="Q44" i="4" s="1"/>
  <c r="M69" i="4"/>
  <c r="M75" i="4"/>
  <c r="M59" i="4"/>
  <c r="M79" i="4"/>
  <c r="M63" i="4"/>
  <c r="P43" i="4"/>
  <c r="S43" i="4" s="1"/>
  <c r="O43" i="4"/>
  <c r="N43" i="4"/>
  <c r="Q69" i="4"/>
  <c r="Q56" i="4"/>
  <c r="M184" i="4"/>
  <c r="M168" i="4"/>
  <c r="M120" i="4"/>
  <c r="M72" i="4"/>
  <c r="M53" i="4"/>
  <c r="Q170" i="4"/>
  <c r="Q138" i="4"/>
  <c r="M129" i="4"/>
  <c r="Q122" i="4"/>
  <c r="Q90" i="4"/>
  <c r="P42" i="4"/>
  <c r="S42" i="4" s="1"/>
  <c r="Q176" i="4"/>
  <c r="Q112" i="4"/>
  <c r="O42" i="4"/>
  <c r="Q179" i="4"/>
  <c r="Q115" i="4"/>
  <c r="Q87" i="4"/>
  <c r="Q84" i="4"/>
  <c r="M43" i="4"/>
  <c r="M132" i="4"/>
  <c r="M100" i="4"/>
  <c r="M160" i="4"/>
  <c r="Q100" i="4"/>
  <c r="Q175" i="4"/>
  <c r="M68" i="4"/>
  <c r="Q95" i="4"/>
  <c r="Q127" i="4"/>
  <c r="Q108" i="4"/>
  <c r="P41" i="4"/>
  <c r="S41" i="4" s="1"/>
  <c r="M48" i="4"/>
  <c r="Q88" i="4"/>
  <c r="Q181" i="4"/>
  <c r="Q111" i="4"/>
  <c r="Q148" i="4"/>
  <c r="Q190" i="4"/>
  <c r="M181" i="4"/>
  <c r="Q139" i="4"/>
  <c r="Q85" i="4"/>
  <c r="Q191" i="4"/>
  <c r="Q156" i="4"/>
  <c r="Q83" i="4"/>
  <c r="Q204" i="4"/>
  <c r="Q188" i="4"/>
  <c r="Q137" i="4"/>
  <c r="Q187" i="4"/>
  <c r="M159" i="4"/>
  <c r="M143" i="4"/>
  <c r="M149" i="4"/>
  <c r="Q200" i="4"/>
  <c r="Q184" i="4"/>
  <c r="Q165" i="4"/>
  <c r="Q149" i="4"/>
  <c r="Q51" i="4"/>
  <c r="Q152" i="4"/>
  <c r="Q140" i="4"/>
  <c r="M117" i="4"/>
  <c r="M95" i="4"/>
  <c r="Q131" i="4"/>
  <c r="Q143" i="4"/>
  <c r="M171" i="4"/>
  <c r="M123" i="4"/>
  <c r="Q94" i="4"/>
  <c r="Q196" i="4"/>
  <c r="Q180" i="4"/>
  <c r="M127" i="4"/>
  <c r="Q123" i="4"/>
  <c r="Q70" i="4"/>
  <c r="Q67" i="4"/>
  <c r="Q202" i="4"/>
  <c r="Q186" i="4"/>
  <c r="Q167" i="4"/>
  <c r="Q158" i="4"/>
  <c r="Q142" i="4"/>
  <c r="Q117" i="4"/>
  <c r="Q92" i="4"/>
  <c r="M81" i="4"/>
  <c r="M176" i="4"/>
  <c r="M112" i="4"/>
  <c r="Q164" i="4"/>
  <c r="M136" i="4"/>
  <c r="Q126" i="4"/>
  <c r="Q104" i="4"/>
  <c r="M104" i="4"/>
  <c r="Q147" i="4"/>
  <c r="Q41" i="4"/>
  <c r="M158" i="4"/>
  <c r="M161" i="4"/>
  <c r="Q106" i="4"/>
  <c r="Q47" i="4"/>
  <c r="M193" i="4"/>
  <c r="M165" i="4"/>
  <c r="Q128" i="4"/>
  <c r="Q91" i="4"/>
  <c r="Q79" i="4"/>
  <c r="P39" i="4"/>
  <c r="Q155" i="4"/>
  <c r="M122" i="4"/>
  <c r="M107" i="4"/>
  <c r="Q103" i="4"/>
  <c r="Q60" i="4"/>
  <c r="M192" i="4"/>
  <c r="M97" i="4"/>
  <c r="M190" i="4"/>
  <c r="Q133" i="4"/>
  <c r="Q52" i="4"/>
  <c r="Q197" i="4"/>
  <c r="Q194" i="4"/>
  <c r="M155" i="4"/>
  <c r="M152" i="4"/>
  <c r="Q99" i="4"/>
  <c r="Q53" i="4"/>
  <c r="M187" i="4"/>
  <c r="Q203" i="4"/>
  <c r="Q172" i="4"/>
  <c r="Q166" i="4"/>
  <c r="Q120" i="4"/>
  <c r="Q62" i="4"/>
  <c r="M200" i="4"/>
  <c r="M96" i="4"/>
  <c r="Q113" i="4"/>
  <c r="Q101" i="4"/>
  <c r="Q89" i="4"/>
  <c r="Q86" i="4"/>
  <c r="Q68" i="4"/>
  <c r="Q59" i="4"/>
  <c r="Q72" i="4"/>
  <c r="M206" i="4"/>
  <c r="M84" i="4"/>
  <c r="M180" i="4"/>
  <c r="Q201" i="4"/>
  <c r="Q198" i="4"/>
  <c r="Q163" i="4"/>
  <c r="Q154" i="4"/>
  <c r="Q151" i="4"/>
  <c r="Q136" i="4"/>
  <c r="M128" i="4"/>
  <c r="M101" i="4"/>
  <c r="M65" i="4"/>
  <c r="M177" i="4"/>
  <c r="M148" i="4"/>
  <c r="M145" i="4"/>
  <c r="Q64" i="4"/>
  <c r="M183" i="4"/>
  <c r="M64" i="4"/>
  <c r="M203" i="4"/>
  <c r="Q159" i="4"/>
  <c r="Q153" i="4"/>
  <c r="Q150" i="4"/>
  <c r="Q132" i="4"/>
  <c r="Q76" i="4"/>
  <c r="Q55" i="4"/>
  <c r="M116" i="4"/>
  <c r="M142" i="4"/>
  <c r="M78" i="4"/>
  <c r="Q63" i="4"/>
  <c r="M52" i="4"/>
  <c r="M49" i="4"/>
  <c r="M191" i="4"/>
  <c r="M150" i="4"/>
  <c r="Q141" i="4"/>
  <c r="M130" i="4"/>
  <c r="M144" i="4"/>
  <c r="M141" i="4"/>
  <c r="M83" i="4"/>
  <c r="M164" i="4"/>
  <c r="M77" i="4"/>
  <c r="Q192" i="4"/>
  <c r="Q134" i="4"/>
  <c r="Q102" i="4"/>
  <c r="M85" i="4"/>
  <c r="Q82" i="4"/>
  <c r="Q73" i="4"/>
  <c r="M113" i="4"/>
  <c r="Q124" i="4"/>
  <c r="M94" i="4"/>
  <c r="M91" i="4"/>
  <c r="M88" i="4"/>
  <c r="M202" i="4"/>
  <c r="Q193" i="4"/>
  <c r="M199" i="4"/>
  <c r="M86" i="4"/>
  <c r="M178" i="4"/>
  <c r="M175" i="4"/>
  <c r="M172" i="4"/>
  <c r="M169" i="4"/>
  <c r="M166" i="4"/>
  <c r="M114" i="4"/>
  <c r="Q205" i="4"/>
  <c r="M55" i="4"/>
  <c r="M80" i="4"/>
  <c r="Q146" i="4"/>
  <c r="Q177" i="4"/>
  <c r="Q168" i="4"/>
  <c r="Q116" i="4"/>
  <c r="M111" i="4"/>
  <c r="M108" i="4"/>
  <c r="M105" i="4"/>
  <c r="M102" i="4"/>
  <c r="Q58" i="4"/>
  <c r="M139" i="4"/>
  <c r="M205" i="4"/>
  <c r="M66" i="4"/>
  <c r="M194" i="4"/>
  <c r="M186" i="4"/>
  <c r="Q78" i="4"/>
  <c r="Q75" i="4"/>
  <c r="M47" i="4"/>
  <c r="M44" i="4"/>
  <c r="M41" i="4"/>
  <c r="M74" i="4"/>
  <c r="M163" i="4"/>
  <c r="M121" i="4"/>
  <c r="M99" i="4"/>
  <c r="M118" i="4"/>
  <c r="M201" i="4"/>
  <c r="Q162" i="4"/>
  <c r="M198" i="4"/>
  <c r="Q145" i="4"/>
  <c r="M90" i="4"/>
  <c r="M134" i="4"/>
  <c r="M62" i="4"/>
  <c r="M173" i="4"/>
  <c r="Q189" i="4"/>
  <c r="M170" i="4"/>
  <c r="Q161" i="4"/>
  <c r="Q125" i="4"/>
  <c r="M106" i="4"/>
  <c r="Q97" i="4"/>
  <c r="Q61" i="4"/>
  <c r="M42" i="4"/>
  <c r="M138" i="4"/>
  <c r="Q129" i="4"/>
  <c r="M188" i="4"/>
  <c r="M135" i="4"/>
  <c r="M182" i="4"/>
  <c r="Q109" i="4"/>
  <c r="Q45" i="4"/>
  <c r="M179" i="4"/>
  <c r="M137" i="4"/>
  <c r="M115" i="4"/>
  <c r="M126" i="4"/>
  <c r="Q178" i="4"/>
  <c r="Q114" i="4"/>
  <c r="M45" i="4"/>
  <c r="M197" i="4"/>
  <c r="Q183" i="4"/>
  <c r="Q169" i="4"/>
  <c r="M167" i="4"/>
  <c r="M156" i="4"/>
  <c r="M153" i="4"/>
  <c r="Q144" i="4"/>
  <c r="M131" i="4"/>
  <c r="Q119" i="4"/>
  <c r="Q105" i="4"/>
  <c r="M103" i="4"/>
  <c r="M92" i="4"/>
  <c r="M89" i="4"/>
  <c r="Q80" i="4"/>
  <c r="M67" i="4"/>
  <c r="M39" i="4"/>
  <c r="M54" i="4"/>
  <c r="M51" i="4"/>
  <c r="Q50" i="4"/>
  <c r="M50" i="4"/>
  <c r="M185" i="4"/>
  <c r="M124" i="4"/>
  <c r="M60" i="4"/>
  <c r="M110" i="4"/>
  <c r="M46" i="4"/>
  <c r="M204" i="4"/>
  <c r="Q98" i="4"/>
  <c r="M162" i="4"/>
  <c r="M98" i="4"/>
  <c r="M195" i="4"/>
  <c r="Q199" i="4"/>
  <c r="M189" i="4"/>
  <c r="M133" i="4"/>
  <c r="Q130" i="4"/>
  <c r="M125" i="4"/>
  <c r="Q66" i="4"/>
  <c r="M61" i="4"/>
  <c r="Q157" i="4"/>
  <c r="M57" i="4"/>
  <c r="M174" i="4"/>
  <c r="M146" i="4"/>
  <c r="M82" i="4"/>
  <c r="M93" i="4"/>
  <c r="Q206" i="4"/>
  <c r="Q173" i="4"/>
  <c r="Q81" i="4"/>
  <c r="M140" i="4"/>
  <c r="M87" i="4"/>
  <c r="M73" i="4"/>
  <c r="M70" i="4"/>
  <c r="M109" i="4"/>
  <c r="Q77" i="4"/>
  <c r="Q74" i="4"/>
  <c r="M58" i="4"/>
  <c r="Q49" i="4"/>
  <c r="Q93" i="4"/>
  <c r="Q65" i="4"/>
  <c r="M71" i="4"/>
  <c r="M157" i="4"/>
  <c r="M154" i="4"/>
  <c r="M151" i="4"/>
  <c r="M76" i="4"/>
  <c r="Q185" i="4"/>
  <c r="Q160" i="4"/>
  <c r="M147" i="4"/>
  <c r="Q135" i="4"/>
  <c r="Q121" i="4"/>
  <c r="M119" i="4"/>
  <c r="Q96" i="4"/>
  <c r="Q71" i="4"/>
  <c r="Q57" i="4"/>
  <c r="Q182" i="4"/>
  <c r="Q174" i="4"/>
  <c r="Q171" i="4"/>
  <c r="Q118" i="4"/>
  <c r="Q110" i="4"/>
  <c r="Q107" i="4"/>
  <c r="Q54" i="4"/>
  <c r="B15" i="8"/>
  <c r="P37" i="4"/>
  <c r="Q37" i="4" s="1"/>
  <c r="O36" i="4"/>
  <c r="Q36" i="4" s="1"/>
  <c r="S73" i="4"/>
  <c r="I25" i="4"/>
  <c r="I183" i="4"/>
  <c r="J43" i="4"/>
  <c r="K33" i="4"/>
  <c r="S167" i="4"/>
  <c r="J189" i="4"/>
  <c r="J139" i="4"/>
  <c r="J87" i="4"/>
  <c r="N25" i="4"/>
  <c r="I151" i="4"/>
  <c r="I202" i="4"/>
  <c r="J186" i="4"/>
  <c r="S183" i="4"/>
  <c r="J183" i="4"/>
  <c r="S105" i="4"/>
  <c r="I173" i="4"/>
  <c r="I189" i="4"/>
  <c r="J126" i="4"/>
  <c r="J71" i="4"/>
  <c r="J22" i="4"/>
  <c r="S57" i="4"/>
  <c r="I7" i="4"/>
  <c r="I170" i="4"/>
  <c r="J125" i="4"/>
  <c r="J170" i="4"/>
  <c r="J59" i="4"/>
  <c r="J165" i="4"/>
  <c r="J111" i="4"/>
  <c r="J9" i="4"/>
  <c r="I199" i="4"/>
  <c r="I9" i="4"/>
  <c r="I154" i="4"/>
  <c r="S173" i="4"/>
  <c r="S189" i="4"/>
  <c r="J109" i="4"/>
  <c r="J55" i="4"/>
  <c r="J7" i="4"/>
  <c r="I23" i="4"/>
  <c r="S89" i="4"/>
  <c r="S170" i="4"/>
  <c r="J203" i="4"/>
  <c r="J104" i="4"/>
  <c r="J5" i="4"/>
  <c r="J23" i="4"/>
  <c r="S59" i="4"/>
  <c r="J199" i="4"/>
  <c r="J155" i="4"/>
  <c r="S199" i="4"/>
  <c r="K23" i="4"/>
  <c r="P23" i="4" s="1"/>
  <c r="K12" i="4"/>
  <c r="P12" i="4" s="1"/>
  <c r="S12" i="4" s="1"/>
  <c r="S118" i="4"/>
  <c r="I123" i="4"/>
  <c r="I150" i="4"/>
  <c r="S156" i="4"/>
  <c r="S153" i="4"/>
  <c r="S60" i="4"/>
  <c r="K13" i="4"/>
  <c r="P13" i="4" s="1"/>
  <c r="I61" i="4"/>
  <c r="S168" i="4"/>
  <c r="J88" i="4"/>
  <c r="J11" i="4"/>
  <c r="S137" i="4"/>
  <c r="J122" i="4"/>
  <c r="J45" i="4"/>
  <c r="K25" i="4"/>
  <c r="P25" i="4" s="1"/>
  <c r="S25" i="4" s="1"/>
  <c r="P14" i="4"/>
  <c r="S14" i="4" s="1"/>
  <c r="I107" i="4"/>
  <c r="I138" i="4"/>
  <c r="I166" i="4"/>
  <c r="S169" i="4"/>
  <c r="J80" i="4"/>
  <c r="I45" i="4"/>
  <c r="I27" i="4"/>
  <c r="S61" i="4"/>
  <c r="I91" i="4"/>
  <c r="S200" i="4"/>
  <c r="J205" i="4"/>
  <c r="J42" i="4"/>
  <c r="J6" i="4"/>
  <c r="K27" i="4"/>
  <c r="P27" i="4" s="1"/>
  <c r="S74" i="4"/>
  <c r="S133" i="4"/>
  <c r="I152" i="4"/>
  <c r="I184" i="4"/>
  <c r="J112" i="4"/>
  <c r="J74" i="4"/>
  <c r="J40" i="4"/>
  <c r="I21" i="4"/>
  <c r="J21" i="4"/>
  <c r="K28" i="4"/>
  <c r="P28" i="4" s="1"/>
  <c r="S45" i="4"/>
  <c r="S107" i="4"/>
  <c r="I122" i="4"/>
  <c r="S141" i="4"/>
  <c r="J200" i="4"/>
  <c r="J70" i="4"/>
  <c r="S138" i="4"/>
  <c r="K32" i="4"/>
  <c r="P32" i="4" s="1"/>
  <c r="S91" i="4"/>
  <c r="I174" i="4"/>
  <c r="I10" i="4"/>
  <c r="S201" i="4"/>
  <c r="M4" i="4"/>
  <c r="P10" i="4"/>
  <c r="K18" i="4"/>
  <c r="P18" i="4" s="1"/>
  <c r="S18" i="4" s="1"/>
  <c r="S152" i="4"/>
  <c r="I168" i="4"/>
  <c r="J102" i="4"/>
  <c r="J61" i="4"/>
  <c r="K21" i="4"/>
  <c r="P21" i="4" s="1"/>
  <c r="S63" i="4"/>
  <c r="O5" i="4"/>
  <c r="L17" i="4" s="1"/>
  <c r="J167" i="4"/>
  <c r="J75" i="4"/>
  <c r="I34" i="4"/>
  <c r="I50" i="4"/>
  <c r="J197" i="4"/>
  <c r="K35" i="4"/>
  <c r="P35" i="4" s="1"/>
  <c r="S35" i="4" s="1"/>
  <c r="K31" i="4"/>
  <c r="P31" i="4" s="1"/>
  <c r="S31" i="4" s="1"/>
  <c r="I119" i="4"/>
  <c r="S180" i="4"/>
  <c r="O6" i="4"/>
  <c r="L7" i="4" s="1"/>
  <c r="O7" i="4" s="1"/>
  <c r="L8" i="4" s="1"/>
  <c r="S106" i="4"/>
  <c r="S37" i="4"/>
  <c r="I165" i="4"/>
  <c r="I181" i="4"/>
  <c r="J152" i="4"/>
  <c r="J120" i="4"/>
  <c r="J64" i="4"/>
  <c r="S38" i="4"/>
  <c r="S50" i="4"/>
  <c r="I75" i="4"/>
  <c r="J151" i="4"/>
  <c r="J119" i="4"/>
  <c r="J93" i="4"/>
  <c r="J63" i="4"/>
  <c r="K24" i="4"/>
  <c r="P24" i="4" s="1"/>
  <c r="S24" i="4" s="1"/>
  <c r="S77" i="4"/>
  <c r="I149" i="4"/>
  <c r="S151" i="4"/>
  <c r="I200" i="4"/>
  <c r="J150" i="4"/>
  <c r="J118" i="4"/>
  <c r="J90" i="4"/>
  <c r="J62" i="4"/>
  <c r="J34" i="4"/>
  <c r="J149" i="4"/>
  <c r="S119" i="4"/>
  <c r="I90" i="4"/>
  <c r="S92" i="4"/>
  <c r="S165" i="4"/>
  <c r="I197" i="4"/>
  <c r="J181" i="4"/>
  <c r="K16" i="4"/>
  <c r="P16" i="4" s="1"/>
  <c r="I182" i="4"/>
  <c r="I17" i="4"/>
  <c r="S75" i="4"/>
  <c r="P17" i="4"/>
  <c r="S17" i="4" s="1"/>
  <c r="S149" i="4"/>
  <c r="I167" i="4"/>
  <c r="J135" i="4"/>
  <c r="J107" i="4"/>
  <c r="S90" i="4"/>
  <c r="I106" i="4"/>
  <c r="S108" i="4"/>
  <c r="S120" i="4"/>
  <c r="S197" i="4"/>
  <c r="J168" i="4"/>
  <c r="J133" i="4"/>
  <c r="J106" i="4"/>
  <c r="J77" i="4"/>
  <c r="J51" i="4"/>
  <c r="J184" i="4"/>
  <c r="J160" i="4"/>
  <c r="J138" i="4"/>
  <c r="J91" i="4"/>
  <c r="N15" i="4"/>
  <c r="S58" i="4"/>
  <c r="S83" i="4"/>
  <c r="S123" i="4"/>
  <c r="I160" i="4"/>
  <c r="J182" i="4"/>
  <c r="J158" i="4"/>
  <c r="J134" i="4"/>
  <c r="J110" i="4"/>
  <c r="I70" i="4"/>
  <c r="I31" i="4"/>
  <c r="I48" i="4"/>
  <c r="O48" i="4" s="1"/>
  <c r="Q48" i="4" s="1"/>
  <c r="S72" i="4"/>
  <c r="I136" i="4"/>
  <c r="J179" i="4"/>
  <c r="J154" i="4"/>
  <c r="J136" i="4"/>
  <c r="I33" i="4"/>
  <c r="I110" i="4"/>
  <c r="I192" i="4"/>
  <c r="J175" i="4"/>
  <c r="J83" i="4"/>
  <c r="S121" i="4"/>
  <c r="I158" i="4"/>
  <c r="J198" i="4"/>
  <c r="J58" i="4"/>
  <c r="O4" i="4"/>
  <c r="L9" i="4" s="1"/>
  <c r="O9" i="4" s="1"/>
  <c r="L11" i="4" s="1"/>
  <c r="M11" i="4" s="1"/>
  <c r="O11" i="4" s="1"/>
  <c r="L25" i="4" s="1"/>
  <c r="S97" i="4"/>
  <c r="I46" i="4"/>
  <c r="O46" i="4" s="1"/>
  <c r="Q46" i="4" s="1"/>
  <c r="S70" i="4"/>
  <c r="I96" i="4"/>
  <c r="S185" i="4"/>
  <c r="O14" i="4"/>
  <c r="L22" i="4" s="1"/>
  <c r="O22" i="4" s="1"/>
  <c r="S48" i="4"/>
  <c r="I60" i="4"/>
  <c r="I134" i="4"/>
  <c r="S179" i="4"/>
  <c r="S195" i="4"/>
  <c r="J195" i="4"/>
  <c r="J171" i="4"/>
  <c r="J78" i="4"/>
  <c r="J147" i="4"/>
  <c r="J123" i="4"/>
  <c r="I15" i="4"/>
  <c r="O15" i="4" s="1"/>
  <c r="S110" i="4"/>
  <c r="J96" i="4"/>
  <c r="S46" i="4"/>
  <c r="I58" i="4"/>
  <c r="I83" i="4"/>
  <c r="J166" i="4"/>
  <c r="J142" i="4"/>
  <c r="I139" i="4"/>
  <c r="I147" i="4"/>
  <c r="I155" i="4"/>
  <c r="I163" i="4"/>
  <c r="I171" i="4"/>
  <c r="I179" i="4"/>
  <c r="I187" i="4"/>
  <c r="I195" i="4"/>
  <c r="I203" i="4"/>
  <c r="J201" i="4"/>
  <c r="J185" i="4"/>
  <c r="J169" i="4"/>
  <c r="J153" i="4"/>
  <c r="J137" i="4"/>
  <c r="J121" i="4"/>
  <c r="J105" i="4"/>
  <c r="J89" i="4"/>
  <c r="J73" i="4"/>
  <c r="J57" i="4"/>
  <c r="J41" i="4"/>
  <c r="J16" i="4"/>
  <c r="K34" i="4"/>
  <c r="P34" i="4" s="1"/>
  <c r="S34" i="4" s="1"/>
  <c r="P33" i="4"/>
  <c r="S33" i="4" s="1"/>
  <c r="K26" i="4"/>
  <c r="I190" i="4"/>
  <c r="I198" i="4"/>
  <c r="I206" i="4"/>
  <c r="I57" i="4"/>
  <c r="I65" i="4"/>
  <c r="I73" i="4"/>
  <c r="I81" i="4"/>
  <c r="I89" i="4"/>
  <c r="I97" i="4"/>
  <c r="I105" i="4"/>
  <c r="I113" i="4"/>
  <c r="I121" i="4"/>
  <c r="I129" i="4"/>
  <c r="I137" i="4"/>
  <c r="I145" i="4"/>
  <c r="I153" i="4"/>
  <c r="I161" i="4"/>
  <c r="I169" i="4"/>
  <c r="I177" i="4"/>
  <c r="I185" i="4"/>
  <c r="I193" i="4"/>
  <c r="I201" i="4"/>
  <c r="J12" i="4"/>
  <c r="J196" i="4"/>
  <c r="J180" i="4"/>
  <c r="J164" i="4"/>
  <c r="J148" i="4"/>
  <c r="J132" i="4"/>
  <c r="J116" i="4"/>
  <c r="J100" i="4"/>
  <c r="J33" i="4"/>
  <c r="C4" i="6"/>
  <c r="G4" i="6" s="1"/>
  <c r="I92" i="4"/>
  <c r="I124" i="4"/>
  <c r="I140" i="4"/>
  <c r="I156" i="4"/>
  <c r="I172" i="4"/>
  <c r="I180" i="4"/>
  <c r="I188" i="4"/>
  <c r="I196" i="4"/>
  <c r="I204" i="4"/>
  <c r="J32" i="4"/>
  <c r="I108" i="4"/>
  <c r="K29" i="4"/>
  <c r="P29" i="4" s="1"/>
  <c r="S29" i="4" s="1"/>
  <c r="S126" i="4"/>
  <c r="S134" i="4"/>
  <c r="S142" i="4"/>
  <c r="S150" i="4"/>
  <c r="S158" i="4"/>
  <c r="S166" i="4"/>
  <c r="S174" i="4"/>
  <c r="S182" i="4"/>
  <c r="S190" i="4"/>
  <c r="S198" i="4"/>
  <c r="S206" i="4"/>
  <c r="J30" i="4"/>
  <c r="K30" i="4"/>
  <c r="P30" i="4" s="1"/>
  <c r="J29" i="4"/>
  <c r="S188" i="4"/>
  <c r="S204" i="4"/>
  <c r="I32" i="4"/>
  <c r="J37" i="4"/>
  <c r="S6" i="4"/>
  <c r="Q6" i="4"/>
  <c r="S13" i="4"/>
  <c r="M7" i="4"/>
  <c r="S19" i="4"/>
  <c r="S8" i="4"/>
  <c r="S28" i="4"/>
  <c r="S9" i="4"/>
  <c r="S10" i="4"/>
  <c r="S4" i="4"/>
  <c r="S27" i="4"/>
  <c r="S15" i="4"/>
  <c r="M17" i="4"/>
  <c r="O17" i="4" s="1"/>
  <c r="L19" i="4" s="1"/>
  <c r="S7" i="4"/>
  <c r="S11" i="4"/>
  <c r="P5" i="4"/>
  <c r="P22" i="4"/>
  <c r="M6" i="4"/>
  <c r="M15" i="4"/>
  <c r="C8" i="6"/>
  <c r="G8" i="6" s="1"/>
  <c r="N18" i="4"/>
  <c r="N10" i="4"/>
  <c r="J28" i="4"/>
  <c r="J10" i="4"/>
  <c r="C7" i="6"/>
  <c r="G7" i="6" s="1"/>
  <c r="N35" i="4"/>
  <c r="C6" i="6"/>
  <c r="J19" i="4"/>
  <c r="G5" i="6"/>
  <c r="G9" i="6"/>
  <c r="H9" i="6" s="1"/>
  <c r="G11" i="6"/>
  <c r="H11" i="6" s="1"/>
  <c r="G10" i="6"/>
  <c r="H10" i="6" s="1"/>
  <c r="Q43" i="4" l="1"/>
  <c r="D5" i="6"/>
  <c r="E5" i="6" s="1"/>
  <c r="Q42" i="4"/>
  <c r="Q39" i="4"/>
  <c r="S39" i="4"/>
  <c r="M22" i="4"/>
  <c r="Q14" i="4"/>
  <c r="L16" i="4"/>
  <c r="M16" i="4" s="1"/>
  <c r="N16" i="4" s="1"/>
  <c r="Q15" i="4"/>
  <c r="Q4" i="4"/>
  <c r="M9" i="4"/>
  <c r="Q9" i="4"/>
  <c r="B15" i="6"/>
  <c r="P26" i="4"/>
  <c r="S26" i="4" s="1"/>
  <c r="M26" i="4"/>
  <c r="N17" i="4"/>
  <c r="N11" i="4"/>
  <c r="Q7" i="4"/>
  <c r="Q16" i="4"/>
  <c r="S16" i="4"/>
  <c r="S30" i="4"/>
  <c r="S22" i="4"/>
  <c r="Q22" i="4"/>
  <c r="S5" i="4"/>
  <c r="Q5" i="4"/>
  <c r="M25" i="4"/>
  <c r="O25" i="4"/>
  <c r="M8" i="4"/>
  <c r="N8" i="4" s="1"/>
  <c r="O19" i="4"/>
  <c r="M19" i="4"/>
  <c r="G6" i="6"/>
  <c r="Q17" i="4"/>
  <c r="Q11" i="4"/>
  <c r="S32" i="4"/>
  <c r="H5" i="6" l="1"/>
  <c r="O16" i="4"/>
  <c r="L26" i="4" s="1"/>
  <c r="O26" i="4" s="1"/>
  <c r="L29" i="4" s="1"/>
  <c r="O29" i="4" s="1"/>
  <c r="Q29" i="4" s="1"/>
  <c r="O8" i="4"/>
  <c r="B16" i="6"/>
  <c r="E7" i="8" s="1"/>
  <c r="E6" i="8"/>
  <c r="L10" i="4"/>
  <c r="Q8" i="4"/>
  <c r="D6" i="6"/>
  <c r="E6" i="6" s="1"/>
  <c r="Q25" i="4"/>
  <c r="L20" i="4"/>
  <c r="Q19" i="4"/>
  <c r="E4" i="8" l="1"/>
  <c r="I8" i="6"/>
  <c r="I11" i="6"/>
  <c r="I6" i="6"/>
  <c r="L30" i="4"/>
  <c r="M30" i="4" s="1"/>
  <c r="Q26" i="4"/>
  <c r="M29" i="4"/>
  <c r="I5" i="6"/>
  <c r="I10" i="6"/>
  <c r="I7" i="6"/>
  <c r="I9" i="6"/>
  <c r="B9" i="8"/>
  <c r="B11" i="8" s="1"/>
  <c r="E5" i="8"/>
  <c r="I4" i="6"/>
  <c r="H6" i="6"/>
  <c r="M20" i="4"/>
  <c r="N20" i="4" s="1"/>
  <c r="O10" i="4"/>
  <c r="M10" i="4"/>
  <c r="O30" i="4" l="1"/>
  <c r="L12" i="4"/>
  <c r="Q10" i="4"/>
  <c r="L31" i="4"/>
  <c r="Q30" i="4"/>
  <c r="O20" i="4"/>
  <c r="M31" i="4" l="1"/>
  <c r="N31" i="4" s="1"/>
  <c r="L24" i="4"/>
  <c r="Q20" i="4"/>
  <c r="O12" i="4"/>
  <c r="M12" i="4"/>
  <c r="O24" i="4" l="1"/>
  <c r="M24" i="4"/>
  <c r="L13" i="4"/>
  <c r="Q12" i="4"/>
  <c r="O31" i="4"/>
  <c r="D7" i="6" l="1"/>
  <c r="Q31" i="4"/>
  <c r="M13" i="4"/>
  <c r="N13" i="4" s="1"/>
  <c r="Q24" i="4"/>
  <c r="O13" i="4" l="1"/>
  <c r="H7" i="6"/>
  <c r="E7" i="6"/>
  <c r="D8" i="6" l="1"/>
  <c r="L18" i="4"/>
  <c r="Q13" i="4"/>
  <c r="E8" i="6" l="1"/>
  <c r="H8" i="6"/>
  <c r="M18" i="4"/>
  <c r="O18" i="4"/>
  <c r="L21" i="4" s="1"/>
  <c r="O21" i="4" l="1"/>
  <c r="M21" i="4"/>
  <c r="Q18" i="4"/>
  <c r="Q21" i="4" l="1"/>
  <c r="L23" i="4"/>
  <c r="O23" i="4" l="1"/>
  <c r="M23" i="4"/>
  <c r="Q23" i="4" l="1"/>
  <c r="L27" i="4"/>
  <c r="M27" i="4" l="1"/>
  <c r="N27" i="4" s="1"/>
  <c r="O27" i="4"/>
  <c r="L28" i="4" l="1"/>
  <c r="M28" i="4" s="1"/>
  <c r="N28" i="4" s="1"/>
  <c r="Q27" i="4"/>
  <c r="O28" i="4" l="1"/>
  <c r="L32" i="4"/>
  <c r="Q28" i="4"/>
  <c r="O32" i="4" l="1"/>
  <c r="M32" i="4"/>
  <c r="L33" i="4" l="1"/>
  <c r="Q32" i="4"/>
  <c r="M33" i="4" l="1"/>
  <c r="N33" i="4" s="1"/>
  <c r="B12" i="8" l="1"/>
  <c r="B13" i="8" s="1"/>
  <c r="B6" i="8"/>
  <c r="B14" i="8"/>
  <c r="O33" i="4"/>
  <c r="L34" i="4" l="1"/>
  <c r="Q33" i="4"/>
  <c r="O34" i="4" l="1"/>
  <c r="M34" i="4"/>
  <c r="L35" i="4" l="1"/>
  <c r="Q34" i="4"/>
  <c r="O35" i="4" l="1"/>
  <c r="M35" i="4"/>
  <c r="D4" i="6" l="1"/>
  <c r="Q35" i="4"/>
  <c r="E4" i="6" l="1"/>
  <c r="H4" i="6"/>
  <c r="B7" i="8" s="1"/>
  <c r="B8" i="8" s="1"/>
  <c r="B10" i="8" s="1"/>
</calcChain>
</file>

<file path=xl/sharedStrings.xml><?xml version="1.0" encoding="utf-8"?>
<sst xmlns="http://schemas.openxmlformats.org/spreadsheetml/2006/main" count="284" uniqueCount="92">
  <si>
    <t>Professional Portfolio Tracker v3 Fixed</t>
  </si>
  <si>
    <t>Fixed: Transactions are calculated by Ticker + Level separately.</t>
  </si>
  <si>
    <t>Fixed: row 4 formulas do not reference the header row.</t>
  </si>
  <si>
    <t>Only record trades from Strategy Start Date onward.</t>
  </si>
  <si>
    <t>Use Cash_Flow for future deposits/withdrawals only.</t>
  </si>
  <si>
    <t>Update Prices manually for current valuation.</t>
  </si>
  <si>
    <t>Rows prebuilt to 200; copy formulas down if needed.</t>
  </si>
  <si>
    <t>Strategy Configuration</t>
  </si>
  <si>
    <t>Strategy Start Date</t>
  </si>
  <si>
    <t>Starting Equity ($)</t>
  </si>
  <si>
    <t>L0+ Target Weight</t>
  </si>
  <si>
    <t>Max L1+L2 Weight</t>
  </si>
  <si>
    <t>Single Ticker Warning</t>
  </si>
  <si>
    <t>Tickers</t>
  </si>
  <si>
    <t>JEPQ</t>
  </si>
  <si>
    <t>QUAL</t>
  </si>
  <si>
    <t>SPY</t>
  </si>
  <si>
    <t>QQQ</t>
  </si>
  <si>
    <t>SOXX</t>
  </si>
  <si>
    <t>TQQQ</t>
  </si>
  <si>
    <t>Levels</t>
  </si>
  <si>
    <t>L0+</t>
  </si>
  <si>
    <t>L1</t>
  </si>
  <si>
    <t>L2</t>
  </si>
  <si>
    <t>Sides</t>
  </si>
  <si>
    <t>BUY</t>
  </si>
  <si>
    <t>SELL</t>
  </si>
  <si>
    <t>Current Prices</t>
  </si>
  <si>
    <t>Ticker</t>
  </si>
  <si>
    <t>Last Price</t>
  </si>
  <si>
    <t>Updated</t>
  </si>
  <si>
    <t>Actual Strategy Trades</t>
  </si>
  <si>
    <t>Date</t>
  </si>
  <si>
    <t>Level</t>
  </si>
  <si>
    <t>Side</t>
  </si>
  <si>
    <t>Quantity</t>
  </si>
  <si>
    <t>Price</t>
  </si>
  <si>
    <t>Fee</t>
  </si>
  <si>
    <t>Signed Qty</t>
  </si>
  <si>
    <t>Gross Value</t>
  </si>
  <si>
    <t>Cash Impact</t>
  </si>
  <si>
    <t>Position Before</t>
  </si>
  <si>
    <t>Cost Basis Before</t>
  </si>
  <si>
    <t>Avg Cost Before</t>
  </si>
  <si>
    <t>Realized PnL</t>
  </si>
  <si>
    <t>Cost Basis After</t>
  </si>
  <si>
    <t>Position After</t>
  </si>
  <si>
    <t>Avg Cost After</t>
  </si>
  <si>
    <t>Notes</t>
  </si>
  <si>
    <t>Flag</t>
  </si>
  <si>
    <t>External Cash Flow</t>
  </si>
  <si>
    <t>Type</t>
  </si>
  <si>
    <t>Amount</t>
  </si>
  <si>
    <t>Current Holdings</t>
  </si>
  <si>
    <t>Qty</t>
  </si>
  <si>
    <t>Cost Basis</t>
  </si>
  <si>
    <t>Avg Cost</t>
  </si>
  <si>
    <t>Market Value</t>
  </si>
  <si>
    <t>Unrealized PnL</t>
  </si>
  <si>
    <t>Weight</t>
  </si>
  <si>
    <t>Cash</t>
  </si>
  <si>
    <t>Total Equity</t>
  </si>
  <si>
    <t>Broker Equity Curve</t>
  </si>
  <si>
    <t>Account Equity</t>
  </si>
  <si>
    <t>High Water Mark</t>
  </si>
  <si>
    <t>Drawdown</t>
  </si>
  <si>
    <t>Strategy Dashboard</t>
  </si>
  <si>
    <t>Metric</t>
  </si>
  <si>
    <t>Value</t>
  </si>
  <si>
    <t>Starting Equity</t>
  </si>
  <si>
    <t>Net Deposits</t>
  </si>
  <si>
    <t>Strategy PnL</t>
  </si>
  <si>
    <t>Current Equity</t>
  </si>
  <si>
    <t>Strategy Return</t>
  </si>
  <si>
    <t>Account Return</t>
  </si>
  <si>
    <t>Closed Trades</t>
  </si>
  <si>
    <t>Win Rate</t>
  </si>
  <si>
    <t>Profit Factor</t>
  </si>
  <si>
    <t>Max Drawdown</t>
  </si>
  <si>
    <t>Allocation</t>
  </si>
  <si>
    <t>Buy</t>
  </si>
  <si>
    <t>未能理解策略细节，错误止损</t>
  </si>
  <si>
    <t>修正上述错误买回</t>
  </si>
  <si>
    <t>持仓比例超出，立刻卖出</t>
  </si>
  <si>
    <t>红利复投</t>
  </si>
  <si>
    <t>调整持仓比例</t>
  </si>
  <si>
    <t>Deposit</t>
  </si>
  <si>
    <t>初始持仓</t>
  </si>
  <si>
    <t>策略卖出信号</t>
  </si>
  <si>
    <t>按策略调整L0+比例</t>
  </si>
  <si>
    <t>策略买入信号</t>
  </si>
  <si>
    <t>扩大现金复利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</si>
</sst>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;[Red]\(\$#,##0.00\);\-"/>
    <numFmt numFmtId="165" formatCode="#,##0;[Red]\(#,##0\);\-"/>
    <numFmt numFmtId="166" formatCode="\$#,##0.00"/>
  </numFmts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/>
    </xf>
    <xf numFmtId="0" fontId="0" fillId="4" borderId="0" xfId="0" applyFill="1"/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14" fontId="0" fillId="4" borderId="0" xfId="0" applyNumberFormat="1" applyFill="1"/>
    <xf numFmtId="166" fontId="0" fillId="5" borderId="0" xfId="0" applyNumberFormat="1" applyFill="1"/>
    <xf numFmtId="14" fontId="0" fillId="5" borderId="0" xfId="0" applyNumberFormat="1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Allocation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ln w="6350">
                      <a:solidFill>
                        <a:schemeClr val="bg1"/>
                      </a:solidFill>
                    </a:ln>
                    <a:solidFill>
                      <a:schemeClr val="bg2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strRef>
              <c:f>Dashboard!$D$4:$D$7</c:f>
              <c:strCache>
                <c:ptCount val="4"/>
                <c:pt idx="0">
                  <c:v>L0+</c:v>
                </c:pt>
                <c:pt idx="1">
                  <c:v>L1</c:v>
                </c:pt>
                <c:pt idx="2">
                  <c:v>L2</c:v>
                </c:pt>
                <c:pt idx="3">
                  <c:v>Cash</c:v>
                </c:pt>
              </c:strCache>
            </c:strRef>
          </c:cat>
          <c:val>
            <c:numRef>
              <c:f>Dashboard!$E$4:$E$7</c:f>
              <c:numCache>
                <c:formatCode>0.00%</c:formatCode>
                <c:ptCount val="4"/>
                <c:pt idx="0">
                  <c:v>0.73610168743041404</c:v>
                </c:pt>
                <c:pt idx="1">
                  <c:v>0.10297479279632901</c:v>
                </c:pt>
                <c:pt idx="2">
                  <c:v>0</c:v>
                </c:pt>
                <c:pt idx="3">
                  <c:v>0.160923519773257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0B-D74C-B4F7-348CFE7E5C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Equity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Equity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Daily_Equity!$A$4:$A$80</c:f>
              <c:numCache>
                <c:formatCode>m/d/yyyy</c:formatCode>
                <c:ptCount val="77"/>
                <c:pt idx="0">
                  <c:v>46038</c:v>
                </c:pt>
                <c:pt idx="1">
                  <c:v>46039</c:v>
                </c:pt>
                <c:pt idx="2">
                  <c:v>46040</c:v>
                </c:pt>
                <c:pt idx="3">
                  <c:v>46041</c:v>
                </c:pt>
                <c:pt idx="4">
                  <c:v>46042</c:v>
                </c:pt>
                <c:pt idx="5">
                  <c:v>46043</c:v>
                </c:pt>
                <c:pt idx="6">
                  <c:v>46044</c:v>
                </c:pt>
                <c:pt idx="7">
                  <c:v>46045</c:v>
                </c:pt>
                <c:pt idx="8">
                  <c:v>46046</c:v>
                </c:pt>
                <c:pt idx="9">
                  <c:v>46047</c:v>
                </c:pt>
                <c:pt idx="10">
                  <c:v>46048</c:v>
                </c:pt>
                <c:pt idx="11">
                  <c:v>46049</c:v>
                </c:pt>
                <c:pt idx="12">
                  <c:v>46050</c:v>
                </c:pt>
                <c:pt idx="13">
                  <c:v>46051</c:v>
                </c:pt>
                <c:pt idx="14">
                  <c:v>46052</c:v>
                </c:pt>
                <c:pt idx="15">
                  <c:v>46053</c:v>
                </c:pt>
                <c:pt idx="16">
                  <c:v>46054</c:v>
                </c:pt>
                <c:pt idx="17">
                  <c:v>46055</c:v>
                </c:pt>
                <c:pt idx="18">
                  <c:v>46056</c:v>
                </c:pt>
                <c:pt idx="19">
                  <c:v>46057</c:v>
                </c:pt>
                <c:pt idx="20">
                  <c:v>46058</c:v>
                </c:pt>
                <c:pt idx="21">
                  <c:v>46059</c:v>
                </c:pt>
                <c:pt idx="22">
                  <c:v>46060</c:v>
                </c:pt>
                <c:pt idx="23">
                  <c:v>46061</c:v>
                </c:pt>
                <c:pt idx="24">
                  <c:v>46062</c:v>
                </c:pt>
                <c:pt idx="25">
                  <c:v>46063</c:v>
                </c:pt>
                <c:pt idx="26">
                  <c:v>46064</c:v>
                </c:pt>
                <c:pt idx="27">
                  <c:v>46065</c:v>
                </c:pt>
                <c:pt idx="28">
                  <c:v>46066</c:v>
                </c:pt>
                <c:pt idx="29">
                  <c:v>46067</c:v>
                </c:pt>
                <c:pt idx="30">
                  <c:v>46068</c:v>
                </c:pt>
                <c:pt idx="31">
                  <c:v>46069</c:v>
                </c:pt>
                <c:pt idx="32">
                  <c:v>46070</c:v>
                </c:pt>
                <c:pt idx="33">
                  <c:v>46071</c:v>
                </c:pt>
                <c:pt idx="34">
                  <c:v>46072</c:v>
                </c:pt>
                <c:pt idx="35">
                  <c:v>46073</c:v>
                </c:pt>
                <c:pt idx="36">
                  <c:v>46074</c:v>
                </c:pt>
                <c:pt idx="37">
                  <c:v>46075</c:v>
                </c:pt>
                <c:pt idx="38">
                  <c:v>46076</c:v>
                </c:pt>
                <c:pt idx="39">
                  <c:v>46077</c:v>
                </c:pt>
                <c:pt idx="40">
                  <c:v>46078</c:v>
                </c:pt>
                <c:pt idx="41">
                  <c:v>46079</c:v>
                </c:pt>
                <c:pt idx="42">
                  <c:v>46080</c:v>
                </c:pt>
                <c:pt idx="43">
                  <c:v>46081</c:v>
                </c:pt>
                <c:pt idx="44">
                  <c:v>46082</c:v>
                </c:pt>
                <c:pt idx="45">
                  <c:v>46083</c:v>
                </c:pt>
                <c:pt idx="46">
                  <c:v>46084</c:v>
                </c:pt>
                <c:pt idx="47">
                  <c:v>46085</c:v>
                </c:pt>
                <c:pt idx="48">
                  <c:v>46086</c:v>
                </c:pt>
                <c:pt idx="49">
                  <c:v>46087</c:v>
                </c:pt>
                <c:pt idx="50">
                  <c:v>46088</c:v>
                </c:pt>
                <c:pt idx="51">
                  <c:v>46089</c:v>
                </c:pt>
                <c:pt idx="52">
                  <c:v>46090</c:v>
                </c:pt>
                <c:pt idx="53">
                  <c:v>46091</c:v>
                </c:pt>
                <c:pt idx="54">
                  <c:v>46092</c:v>
                </c:pt>
                <c:pt idx="55">
                  <c:v>46093</c:v>
                </c:pt>
                <c:pt idx="56">
                  <c:v>46094</c:v>
                </c:pt>
                <c:pt idx="57">
                  <c:v>46095</c:v>
                </c:pt>
                <c:pt idx="58">
                  <c:v>46096</c:v>
                </c:pt>
                <c:pt idx="59">
                  <c:v>46097</c:v>
                </c:pt>
                <c:pt idx="60">
                  <c:v>46098</c:v>
                </c:pt>
                <c:pt idx="61">
                  <c:v>46099</c:v>
                </c:pt>
                <c:pt idx="62">
                  <c:v>46100</c:v>
                </c:pt>
                <c:pt idx="63">
                  <c:v>46101</c:v>
                </c:pt>
                <c:pt idx="64">
                  <c:v>46102</c:v>
                </c:pt>
                <c:pt idx="65">
                  <c:v>46103</c:v>
                </c:pt>
                <c:pt idx="66">
                  <c:v>46104</c:v>
                </c:pt>
                <c:pt idx="67">
                  <c:v>46105</c:v>
                </c:pt>
                <c:pt idx="68">
                  <c:v>46106</c:v>
                </c:pt>
                <c:pt idx="69">
                  <c:v>46107</c:v>
                </c:pt>
                <c:pt idx="70">
                  <c:v>46108</c:v>
                </c:pt>
                <c:pt idx="71">
                  <c:v>46109</c:v>
                </c:pt>
                <c:pt idx="72">
                  <c:v>46110</c:v>
                </c:pt>
                <c:pt idx="73">
                  <c:v>46111</c:v>
                </c:pt>
                <c:pt idx="74">
                  <c:v>46112</c:v>
                </c:pt>
                <c:pt idx="75">
                  <c:v>46113</c:v>
                </c:pt>
                <c:pt idx="76">
                  <c:v>46114</c:v>
                </c:pt>
              </c:numCache>
            </c:numRef>
          </c:cat>
          <c:val>
            <c:numRef>
              <c:f>Daily_Equity!$B$4:$B$80</c:f>
              <c:numCache>
                <c:formatCode>General</c:formatCode>
                <c:ptCount val="77"/>
                <c:pt idx="0">
                  <c:v>101640.09</c:v>
                </c:pt>
                <c:pt idx="1">
                  <c:v>101639.92</c:v>
                </c:pt>
                <c:pt idx="2">
                  <c:v>101639.24</c:v>
                </c:pt>
                <c:pt idx="3">
                  <c:v>101720.03</c:v>
                </c:pt>
                <c:pt idx="4">
                  <c:v>101528.06</c:v>
                </c:pt>
                <c:pt idx="5">
                  <c:v>102775.2</c:v>
                </c:pt>
                <c:pt idx="6">
                  <c:v>103332.01</c:v>
                </c:pt>
                <c:pt idx="7">
                  <c:v>103790.64</c:v>
                </c:pt>
                <c:pt idx="8">
                  <c:v>103781.67</c:v>
                </c:pt>
                <c:pt idx="9">
                  <c:v>103777.53</c:v>
                </c:pt>
                <c:pt idx="10">
                  <c:v>103689.02</c:v>
                </c:pt>
                <c:pt idx="11">
                  <c:v>106441.34</c:v>
                </c:pt>
                <c:pt idx="12">
                  <c:v>106812.29</c:v>
                </c:pt>
                <c:pt idx="13">
                  <c:v>106618.12</c:v>
                </c:pt>
                <c:pt idx="14">
                  <c:v>105062.67</c:v>
                </c:pt>
                <c:pt idx="15">
                  <c:v>105062.96</c:v>
                </c:pt>
                <c:pt idx="16">
                  <c:v>105060.87</c:v>
                </c:pt>
                <c:pt idx="17">
                  <c:v>105374.25</c:v>
                </c:pt>
                <c:pt idx="18">
                  <c:v>104086.05</c:v>
                </c:pt>
                <c:pt idx="19">
                  <c:v>102625.99</c:v>
                </c:pt>
                <c:pt idx="20">
                  <c:v>101722.26</c:v>
                </c:pt>
                <c:pt idx="21">
                  <c:v>103961.48</c:v>
                </c:pt>
                <c:pt idx="22">
                  <c:v>103962.01</c:v>
                </c:pt>
                <c:pt idx="23">
                  <c:v>103962.31</c:v>
                </c:pt>
                <c:pt idx="24">
                  <c:v>104768.64</c:v>
                </c:pt>
                <c:pt idx="25">
                  <c:v>104761.02</c:v>
                </c:pt>
                <c:pt idx="26">
                  <c:v>104943.36</c:v>
                </c:pt>
                <c:pt idx="27">
                  <c:v>103612.12</c:v>
                </c:pt>
                <c:pt idx="28">
                  <c:v>103548.57</c:v>
                </c:pt>
                <c:pt idx="29">
                  <c:v>103548.61</c:v>
                </c:pt>
                <c:pt idx="30">
                  <c:v>103549.48</c:v>
                </c:pt>
                <c:pt idx="31">
                  <c:v>103659.99</c:v>
                </c:pt>
                <c:pt idx="32">
                  <c:v>103739.82</c:v>
                </c:pt>
                <c:pt idx="33">
                  <c:v>104239.56</c:v>
                </c:pt>
                <c:pt idx="34">
                  <c:v>104045.96</c:v>
                </c:pt>
                <c:pt idx="35">
                  <c:v>104253.37</c:v>
                </c:pt>
                <c:pt idx="36">
                  <c:v>104252.37</c:v>
                </c:pt>
                <c:pt idx="37">
                  <c:v>104253.21</c:v>
                </c:pt>
                <c:pt idx="38">
                  <c:v>103746.07</c:v>
                </c:pt>
                <c:pt idx="39">
                  <c:v>104309.47</c:v>
                </c:pt>
                <c:pt idx="40">
                  <c:v>105001.14</c:v>
                </c:pt>
                <c:pt idx="41">
                  <c:v>104087.94</c:v>
                </c:pt>
                <c:pt idx="42">
                  <c:v>103677.52</c:v>
                </c:pt>
                <c:pt idx="43">
                  <c:v>103677.8</c:v>
                </c:pt>
                <c:pt idx="44">
                  <c:v>103678.01</c:v>
                </c:pt>
                <c:pt idx="45">
                  <c:v>103512.5</c:v>
                </c:pt>
                <c:pt idx="46">
                  <c:v>102110.39</c:v>
                </c:pt>
                <c:pt idx="47">
                  <c:v>102405.13</c:v>
                </c:pt>
                <c:pt idx="48">
                  <c:v>102399.4</c:v>
                </c:pt>
                <c:pt idx="49">
                  <c:v>101371.09</c:v>
                </c:pt>
                <c:pt idx="50">
                  <c:v>101371.16</c:v>
                </c:pt>
                <c:pt idx="51">
                  <c:v>101371.41</c:v>
                </c:pt>
                <c:pt idx="52">
                  <c:v>102416.16</c:v>
                </c:pt>
                <c:pt idx="53">
                  <c:v>102582.3</c:v>
                </c:pt>
                <c:pt idx="54">
                  <c:v>102818.33</c:v>
                </c:pt>
                <c:pt idx="55">
                  <c:v>101768.43</c:v>
                </c:pt>
                <c:pt idx="56">
                  <c:v>101182.06</c:v>
                </c:pt>
                <c:pt idx="57">
                  <c:v>101180.19</c:v>
                </c:pt>
                <c:pt idx="58">
                  <c:v>101181.82</c:v>
                </c:pt>
                <c:pt idx="59">
                  <c:v>101930.55</c:v>
                </c:pt>
                <c:pt idx="60">
                  <c:v>102075.06</c:v>
                </c:pt>
                <c:pt idx="61">
                  <c:v>101176.79</c:v>
                </c:pt>
                <c:pt idx="62">
                  <c:v>101543.43</c:v>
                </c:pt>
                <c:pt idx="63">
                  <c:v>100647.77</c:v>
                </c:pt>
                <c:pt idx="64">
                  <c:v>100646.11</c:v>
                </c:pt>
                <c:pt idx="65">
                  <c:v>100647.74</c:v>
                </c:pt>
                <c:pt idx="66">
                  <c:v>101628.25</c:v>
                </c:pt>
                <c:pt idx="67">
                  <c:v>101593.14</c:v>
                </c:pt>
                <c:pt idx="68">
                  <c:v>102013.63</c:v>
                </c:pt>
                <c:pt idx="69">
                  <c:v>100466.23</c:v>
                </c:pt>
                <c:pt idx="70">
                  <c:v>99281.14</c:v>
                </c:pt>
                <c:pt idx="71">
                  <c:v>99282.23</c:v>
                </c:pt>
                <c:pt idx="72">
                  <c:v>99281.11</c:v>
                </c:pt>
                <c:pt idx="73">
                  <c:v>98958.33</c:v>
                </c:pt>
                <c:pt idx="74">
                  <c:v>100927</c:v>
                </c:pt>
                <c:pt idx="75">
                  <c:v>101498.67</c:v>
                </c:pt>
                <c:pt idx="76">
                  <c:v>101667.95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E2-5D4C-B585-207366659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20001"/>
        <c:axId val="50020002"/>
      </c:lineChart>
      <c:dateAx>
        <c:axId val="5002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20002"/>
        <c:crosses val="autoZero"/>
        <c:auto val="1"/>
        <c:lblOffset val="100"/>
        <c:baseTimeUnit val="days"/>
      </c:dateAx>
      <c:valAx>
        <c:axId val="5002000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20001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239479</xdr:colOff>
      <xdr:row>0</xdr:row>
      <xdr:rowOff>136073</xdr:rowOff>
    </xdr:from>
    <xdr:to>
      <xdr:col>10</xdr:col>
      <xdr:colOff>397328</xdr:colOff>
      <xdr:row>14</xdr:row>
      <xdr:rowOff>163287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70756</xdr:colOff>
      <xdr:row>15</xdr:row>
      <xdr:rowOff>92527</xdr:rowOff>
    </xdr:from>
    <xdr:to>
      <xdr:col>10</xdr:col>
      <xdr:colOff>419100</xdr:colOff>
      <xdr:row>29</xdr:row>
      <xdr:rowOff>168727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workbookViewId="0"/>
  </sheetViews>
  <sheetFormatPr defaultRowHeight="14.6" x14ac:dyDescent="0.4"/>
  <cols>
    <col min="1" max="1" width="100.765625" customWidth="1"/>
  </cols>
  <sheetData>
    <row r="1" spans="1:1" ht="18.45" x14ac:dyDescent="0.5">
      <c r="A1" s="1" t="s">
        <v>0</v>
      </c>
    </row>
    <row r="3" spans="1:1" x14ac:dyDescent="0.4">
      <c r="A3" t="s">
        <v>1</v>
      </c>
    </row>
    <row r="4" spans="1:1" x14ac:dyDescent="0.4">
      <c r="A4" t="s">
        <v>2</v>
      </c>
    </row>
    <row r="5" spans="1:1" x14ac:dyDescent="0.4">
      <c r="A5" t="s">
        <v>3</v>
      </c>
    </row>
    <row r="6" spans="1:1" x14ac:dyDescent="0.4">
      <c r="A6" t="s">
        <v>4</v>
      </c>
    </row>
    <row r="7" spans="1:1" x14ac:dyDescent="0.4">
      <c r="A7" t="s">
        <v>5</v>
      </c>
    </row>
    <row r="8" spans="1:1" x14ac:dyDescent="0.4">
      <c r="A8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>
      <selection activeCell="B5" sqref="B5"/>
    </sheetView>
  </sheetViews>
  <sheetFormatPr defaultRowHeight="14.6" x14ac:dyDescent="0.4"/>
  <cols>
    <col min="1" max="2" width="22.765625" customWidth="1"/>
    <col min="4" max="8" width="12.61328125" customWidth="1"/>
  </cols>
  <sheetData>
    <row r="1" spans="1:8" ht="18.45" x14ac:dyDescent="0.5">
      <c r="A1" s="1" t="s">
        <v>7</v>
      </c>
      <c r="D1" s="2" t="s">
        <v>13</v>
      </c>
      <c r="F1" s="2" t="s">
        <v>20</v>
      </c>
      <c r="H1" s="2" t="s">
        <v>24</v>
      </c>
    </row>
    <row r="2" spans="1:8" x14ac:dyDescent="0.4">
      <c r="D2" t="s">
        <v>14</v>
      </c>
      <c r="F2" t="s">
        <v>21</v>
      </c>
      <c r="H2" t="s">
        <v>25</v>
      </c>
    </row>
    <row r="3" spans="1:8" x14ac:dyDescent="0.4">
      <c r="A3" t="s">
        <v>8</v>
      </c>
      <c r="B3" s="7">
        <v>46037</v>
      </c>
      <c r="D3" t="s">
        <v>15</v>
      </c>
      <c r="F3" t="s">
        <v>22</v>
      </c>
      <c r="H3" t="s">
        <v>26</v>
      </c>
    </row>
    <row r="4" spans="1:8" x14ac:dyDescent="0.4">
      <c r="A4" t="s">
        <v>9</v>
      </c>
      <c r="B4" s="3">
        <v>99215.41</v>
      </c>
      <c r="D4" t="s">
        <v>16</v>
      </c>
      <c r="F4" t="s">
        <v>23</v>
      </c>
    </row>
    <row r="5" spans="1:8" x14ac:dyDescent="0.4">
      <c r="A5" t="s">
        <v>10</v>
      </c>
      <c r="B5" s="3">
        <v>0.65</v>
      </c>
      <c r="D5" t="s">
        <v>17</v>
      </c>
    </row>
    <row r="6" spans="1:8" x14ac:dyDescent="0.4">
      <c r="A6" t="s">
        <v>11</v>
      </c>
      <c r="B6" s="3">
        <v>0.35</v>
      </c>
      <c r="D6" t="s">
        <v>18</v>
      </c>
    </row>
    <row r="7" spans="1:8" x14ac:dyDescent="0.4">
      <c r="A7" t="s">
        <v>12</v>
      </c>
      <c r="B7" s="3">
        <v>0.1</v>
      </c>
      <c r="D7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B10" sqref="B10"/>
    </sheetView>
  </sheetViews>
  <sheetFormatPr defaultRowHeight="14.6" x14ac:dyDescent="0.4"/>
  <cols>
    <col min="1" max="1" width="6" bestFit="1" customWidth="1"/>
    <col min="2" max="3" width="16.69140625" customWidth="1"/>
  </cols>
  <sheetData>
    <row r="1" spans="1:3" ht="18.45" x14ac:dyDescent="0.5">
      <c r="A1" s="10" t="s">
        <v>27</v>
      </c>
      <c r="B1" s="10"/>
      <c r="C1" s="10"/>
    </row>
    <row r="3" spans="1:3" x14ac:dyDescent="0.4">
      <c r="A3" s="2" t="s">
        <v>28</v>
      </c>
      <c r="B3" s="2" t="s">
        <v>29</v>
      </c>
      <c r="C3" s="2" t="s">
        <v>30</v>
      </c>
    </row>
    <row r="4" spans="1:3" x14ac:dyDescent="0.4">
      <c r="A4" t="s">
        <v>14</v>
      </c>
      <c r="B4" s="8">
        <v>59.86</v>
      </c>
      <c r="C4" s="9">
        <v>46197</v>
      </c>
    </row>
    <row r="5" spans="1:3" x14ac:dyDescent="0.4">
      <c r="A5" t="s">
        <v>15</v>
      </c>
      <c r="B5" s="8">
        <v>213.01</v>
      </c>
      <c r="C5" s="9">
        <v>46197</v>
      </c>
    </row>
    <row r="6" spans="1:3" x14ac:dyDescent="0.4">
      <c r="A6" t="s">
        <v>16</v>
      </c>
      <c r="B6" s="8">
        <v>733.58</v>
      </c>
      <c r="C6" s="9">
        <v>46197</v>
      </c>
    </row>
    <row r="7" spans="1:3" x14ac:dyDescent="0.4">
      <c r="A7" t="s">
        <v>17</v>
      </c>
      <c r="B7" s="8">
        <v>713.65</v>
      </c>
      <c r="C7" s="9">
        <v>46197</v>
      </c>
    </row>
    <row r="8" spans="1:3" x14ac:dyDescent="0.4">
      <c r="A8" t="s">
        <v>18</v>
      </c>
      <c r="B8" s="8">
        <v>603.39</v>
      </c>
      <c r="C8" s="9">
        <v>46197</v>
      </c>
    </row>
    <row r="9" spans="1:3" x14ac:dyDescent="0.4">
      <c r="A9" t="s">
        <v>19</v>
      </c>
      <c r="B9" s="8">
        <v>74.44</v>
      </c>
      <c r="C9" s="9">
        <v>46197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06"/>
  <sheetViews>
    <sheetView topLeftCell="I1" workbookViewId="0">
      <pane ySplit="3" topLeftCell="A29" activePane="bottomLeft" state="frozen"/>
      <selection pane="bottomLeft" activeCell="R49" sqref="R49"/>
    </sheetView>
  </sheetViews>
  <sheetFormatPr defaultRowHeight="14.6" x14ac:dyDescent="0.4"/>
  <cols>
    <col min="1" max="1" width="12.61328125" customWidth="1"/>
    <col min="2" max="5" width="10.765625" customWidth="1"/>
    <col min="6" max="7" width="12.61328125" customWidth="1"/>
    <col min="8" max="10" width="14.69140625" customWidth="1"/>
    <col min="11" max="17" width="18.69140625" customWidth="1"/>
    <col min="18" max="18" width="27.15234375" bestFit="1" customWidth="1"/>
    <col min="19" max="19" width="24.765625" customWidth="1"/>
  </cols>
  <sheetData>
    <row r="1" spans="1:19" ht="18.45" x14ac:dyDescent="0.5">
      <c r="A1" s="10" t="s">
        <v>31</v>
      </c>
      <c r="B1" s="10"/>
      <c r="C1" s="10"/>
      <c r="D1" s="10"/>
      <c r="E1" s="10"/>
      <c r="F1" s="10"/>
      <c r="G1" s="10"/>
    </row>
    <row r="3" spans="1:19" x14ac:dyDescent="0.4">
      <c r="A3" s="2" t="s">
        <v>32</v>
      </c>
      <c r="B3" s="2" t="s">
        <v>28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37</v>
      </c>
      <c r="H3" s="2" t="s">
        <v>38</v>
      </c>
      <c r="I3" s="2" t="s">
        <v>39</v>
      </c>
      <c r="J3" s="2" t="s">
        <v>40</v>
      </c>
      <c r="K3" s="2" t="s">
        <v>41</v>
      </c>
      <c r="L3" s="2" t="s">
        <v>42</v>
      </c>
      <c r="M3" s="2" t="s">
        <v>43</v>
      </c>
      <c r="N3" s="2" t="s">
        <v>44</v>
      </c>
      <c r="O3" s="2" t="s">
        <v>45</v>
      </c>
      <c r="P3" s="2" t="s">
        <v>46</v>
      </c>
      <c r="Q3" s="2" t="s">
        <v>47</v>
      </c>
      <c r="R3" s="2" t="s">
        <v>48</v>
      </c>
      <c r="S3" s="2" t="s">
        <v>49</v>
      </c>
    </row>
    <row r="4" spans="1:19" x14ac:dyDescent="0.4">
      <c r="A4" s="7">
        <v>46037</v>
      </c>
      <c r="B4" s="3" t="s">
        <v>16</v>
      </c>
      <c r="C4" s="3" t="s">
        <v>22</v>
      </c>
      <c r="D4" s="3" t="s">
        <v>80</v>
      </c>
      <c r="E4" s="3">
        <v>2.00482</v>
      </c>
      <c r="F4" s="3">
        <v>574.5</v>
      </c>
      <c r="G4" s="3"/>
      <c r="H4">
        <f t="shared" ref="H4:H38" si="0">IF(OR(D4="",E4=""),"",IF(D4="BUY",E4,-E4))</f>
        <v>2.00482</v>
      </c>
      <c r="I4" s="4">
        <f t="shared" ref="I4:I38" si="1">IF(H4="","",ABS(H4)*F4)</f>
        <v>1151.76909</v>
      </c>
      <c r="J4" s="4">
        <f t="shared" ref="J4:J38" si="2">IF(H4="","",-H4*F4-G4)</f>
        <v>-1151.76909</v>
      </c>
      <c r="K4" s="5">
        <f>IF(OR(B4="",C4=""),"",0)</f>
        <v>0</v>
      </c>
      <c r="L4" s="4">
        <f>IF(OR(B4="",C4=""),"",0)</f>
        <v>0</v>
      </c>
      <c r="M4" s="4">
        <f t="shared" ref="M4:M35" si="3">IF(K4=0,0,L4/K4)</f>
        <v>0</v>
      </c>
      <c r="N4" s="4">
        <f t="shared" ref="N4:N35" si="4">IF(H4&lt;0,ABS(H4)*(F4-M4)-G4,0)</f>
        <v>0</v>
      </c>
      <c r="O4" s="4">
        <f t="shared" ref="O4:O35" si="5">IF(H4="","",IF(H4&gt;0,L4+I4+G4,MAX(0,L4-ABS(H4)*M4)))</f>
        <v>1151.76909</v>
      </c>
      <c r="P4" s="5">
        <f t="shared" ref="P4:P35" si="6">IF(H4="","",K4+H4)</f>
        <v>2.00482</v>
      </c>
      <c r="Q4" s="4">
        <f t="shared" ref="Q4:Q35" si="7">IF(P4=0,0,O4/P4)</f>
        <v>574.5</v>
      </c>
      <c r="R4" s="3" t="s">
        <v>87</v>
      </c>
      <c r="S4" t="str">
        <f t="shared" ref="S4:S38" si="8">IF(H4="","",IF(P4&lt;0,"ERROR: Over-sold",IF(AND(H4&lt;0,K4=0),"ERROR: Sell w/o position","")))</f>
        <v/>
      </c>
    </row>
    <row r="5" spans="1:19" x14ac:dyDescent="0.4">
      <c r="A5" s="7">
        <v>46037</v>
      </c>
      <c r="B5" s="3" t="s">
        <v>18</v>
      </c>
      <c r="C5" s="3" t="s">
        <v>22</v>
      </c>
      <c r="D5" s="3" t="s">
        <v>80</v>
      </c>
      <c r="E5" s="3">
        <v>31</v>
      </c>
      <c r="F5" s="3">
        <v>321.72000000000003</v>
      </c>
      <c r="G5" s="3"/>
      <c r="H5">
        <f t="shared" si="0"/>
        <v>31</v>
      </c>
      <c r="I5" s="4">
        <f t="shared" si="1"/>
        <v>9973.3200000000015</v>
      </c>
      <c r="J5" s="4">
        <f t="shared" si="2"/>
        <v>-9973.3200000000015</v>
      </c>
      <c r="K5" s="5">
        <f>IF(OR(B5="",C5=""),"",SUMIFS($H$4:H4,$B$4:B4,B5,$C$4:C4,C5))</f>
        <v>0</v>
      </c>
      <c r="L5" s="4">
        <f>IF(OR(B5="",C5=""),"",IFERROR(LOOKUP(2,1/(($B$4:B4=B5)*($C$4:C4=C5)),$O$4:O4),0))</f>
        <v>0</v>
      </c>
      <c r="M5" s="4">
        <f t="shared" si="3"/>
        <v>0</v>
      </c>
      <c r="N5" s="4">
        <f t="shared" si="4"/>
        <v>0</v>
      </c>
      <c r="O5" s="4">
        <f t="shared" si="5"/>
        <v>9973.3200000000015</v>
      </c>
      <c r="P5" s="5">
        <f t="shared" si="6"/>
        <v>31</v>
      </c>
      <c r="Q5" s="4">
        <f t="shared" si="7"/>
        <v>321.72000000000003</v>
      </c>
      <c r="R5" s="3" t="s">
        <v>87</v>
      </c>
      <c r="S5" t="str">
        <f t="shared" si="8"/>
        <v/>
      </c>
    </row>
    <row r="6" spans="1:19" x14ac:dyDescent="0.4">
      <c r="A6" s="7">
        <v>46038</v>
      </c>
      <c r="B6" s="3" t="s">
        <v>14</v>
      </c>
      <c r="C6" s="3" t="s">
        <v>21</v>
      </c>
      <c r="D6" s="3" t="s">
        <v>25</v>
      </c>
      <c r="E6" s="3">
        <v>1151</v>
      </c>
      <c r="F6" s="3">
        <v>59.15</v>
      </c>
      <c r="G6" s="3">
        <v>14.25</v>
      </c>
      <c r="H6">
        <f t="shared" si="0"/>
        <v>1151</v>
      </c>
      <c r="I6" s="4">
        <f t="shared" si="1"/>
        <v>68081.649999999994</v>
      </c>
      <c r="J6" s="4">
        <f t="shared" si="2"/>
        <v>-68095.899999999994</v>
      </c>
      <c r="K6" s="5">
        <f>IF(OR(B6="",C6=""),"",SUMIFS($H$4:H5,$B$4:B5,B6,$C$4:C5,C6))</f>
        <v>0</v>
      </c>
      <c r="L6" s="4">
        <f>IF(OR(B6="",C6=""),"",IFERROR(LOOKUP(2,1/(($B$4:B5=B6)*($C$4:C5=C6)),$O$4:O5),0))</f>
        <v>0</v>
      </c>
      <c r="M6" s="4">
        <f t="shared" si="3"/>
        <v>0</v>
      </c>
      <c r="N6" s="4">
        <f t="shared" si="4"/>
        <v>0</v>
      </c>
      <c r="O6" s="4">
        <f t="shared" si="5"/>
        <v>68095.899999999994</v>
      </c>
      <c r="P6" s="5">
        <f t="shared" si="6"/>
        <v>1151</v>
      </c>
      <c r="Q6" s="4">
        <f t="shared" si="7"/>
        <v>59.162380538662028</v>
      </c>
      <c r="R6" s="3"/>
      <c r="S6" t="str">
        <f t="shared" si="8"/>
        <v/>
      </c>
    </row>
    <row r="7" spans="1:19" x14ac:dyDescent="0.4">
      <c r="A7" s="7">
        <v>46038</v>
      </c>
      <c r="B7" s="3" t="s">
        <v>14</v>
      </c>
      <c r="C7" s="3" t="s">
        <v>21</v>
      </c>
      <c r="D7" s="3" t="s">
        <v>25</v>
      </c>
      <c r="E7" s="3">
        <v>50</v>
      </c>
      <c r="F7" s="3">
        <v>59.14</v>
      </c>
      <c r="G7" s="3"/>
      <c r="H7">
        <f t="shared" si="0"/>
        <v>50</v>
      </c>
      <c r="I7" s="4">
        <f t="shared" si="1"/>
        <v>2957</v>
      </c>
      <c r="J7" s="4">
        <f t="shared" si="2"/>
        <v>-2957</v>
      </c>
      <c r="K7" s="5">
        <f>IF(OR(B7="",C7=""),"",SUMIFS($H$4:H6,$B$4:B6,B7,$C$4:C6,C7))</f>
        <v>1151</v>
      </c>
      <c r="L7" s="4">
        <f>IF(OR(B7="",C7=""),"",IFERROR(LOOKUP(2,1/(($B$4:B6=B7)*($C$4:C6=C7)),$O$4:O6),0))</f>
        <v>68095.899999999994</v>
      </c>
      <c r="M7" s="4">
        <f t="shared" si="3"/>
        <v>59.162380538662028</v>
      </c>
      <c r="N7" s="4">
        <f t="shared" si="4"/>
        <v>0</v>
      </c>
      <c r="O7" s="4">
        <f t="shared" si="5"/>
        <v>71052.899999999994</v>
      </c>
      <c r="P7" s="5">
        <f t="shared" si="6"/>
        <v>1201</v>
      </c>
      <c r="Q7" s="4">
        <f t="shared" si="7"/>
        <v>59.161448792672765</v>
      </c>
      <c r="R7" s="3"/>
      <c r="S7" t="str">
        <f t="shared" si="8"/>
        <v/>
      </c>
    </row>
    <row r="8" spans="1:19" x14ac:dyDescent="0.4">
      <c r="A8" s="7">
        <v>46038</v>
      </c>
      <c r="B8" s="3" t="s">
        <v>14</v>
      </c>
      <c r="C8" s="3" t="s">
        <v>21</v>
      </c>
      <c r="D8" s="3" t="s">
        <v>26</v>
      </c>
      <c r="E8" s="3">
        <v>152</v>
      </c>
      <c r="F8" s="3">
        <v>59.12</v>
      </c>
      <c r="G8" s="3">
        <v>2.58</v>
      </c>
      <c r="H8">
        <f t="shared" si="0"/>
        <v>-152</v>
      </c>
      <c r="I8" s="4">
        <f t="shared" si="1"/>
        <v>8986.24</v>
      </c>
      <c r="J8" s="4">
        <f t="shared" si="2"/>
        <v>8983.66</v>
      </c>
      <c r="K8" s="5">
        <f>IF(OR(B8="",C8=""),"",SUMIFS($H$4:H7,$B$4:B7,B8,$C$4:C7,C8))</f>
        <v>1201</v>
      </c>
      <c r="L8" s="4">
        <f>IF(OR(B8="",C8=""),"",IFERROR(LOOKUP(2,1/(($B$4:B7=B8)*($C$4:C7=C8)),$O$4:O7),0))</f>
        <v>71052.899999999994</v>
      </c>
      <c r="M8" s="4">
        <f t="shared" si="3"/>
        <v>59.161448792672765</v>
      </c>
      <c r="N8" s="4">
        <f t="shared" si="4"/>
        <v>-8.8802164862606379</v>
      </c>
      <c r="O8" s="4">
        <f t="shared" si="5"/>
        <v>62060.359783513733</v>
      </c>
      <c r="P8" s="5">
        <f t="shared" si="6"/>
        <v>1049</v>
      </c>
      <c r="Q8" s="4">
        <f t="shared" si="7"/>
        <v>59.161448792672765</v>
      </c>
      <c r="R8" s="3" t="s">
        <v>83</v>
      </c>
      <c r="S8" t="str">
        <f t="shared" si="8"/>
        <v/>
      </c>
    </row>
    <row r="9" spans="1:19" x14ac:dyDescent="0.4">
      <c r="A9" s="7">
        <v>46038</v>
      </c>
      <c r="B9" s="3" t="s">
        <v>16</v>
      </c>
      <c r="C9" s="3" t="s">
        <v>22</v>
      </c>
      <c r="D9" s="3" t="s">
        <v>25</v>
      </c>
      <c r="E9" s="3">
        <v>13</v>
      </c>
      <c r="F9" s="3">
        <v>693.7</v>
      </c>
      <c r="G9" s="3">
        <v>2.04</v>
      </c>
      <c r="H9">
        <f t="shared" si="0"/>
        <v>13</v>
      </c>
      <c r="I9" s="4">
        <f t="shared" si="1"/>
        <v>9018.1</v>
      </c>
      <c r="J9" s="4">
        <f t="shared" si="2"/>
        <v>-9020.1400000000012</v>
      </c>
      <c r="K9" s="5">
        <f>IF(OR(B9="",C9=""),"",SUMIFS($H$4:H8,$B$4:B8,B9,$C$4:C8,C9))</f>
        <v>2.00482</v>
      </c>
      <c r="L9" s="4">
        <f>IF(OR(B9="",C9=""),"",IFERROR(LOOKUP(2,1/(($B$4:B8=B9)*($C$4:C8=C9)),$O$4:O8),0))</f>
        <v>1151.76909</v>
      </c>
      <c r="M9" s="4">
        <f t="shared" si="3"/>
        <v>574.5</v>
      </c>
      <c r="N9" s="4">
        <f t="shared" si="4"/>
        <v>0</v>
      </c>
      <c r="O9" s="4">
        <f t="shared" si="5"/>
        <v>10171.909090000001</v>
      </c>
      <c r="P9" s="5">
        <f t="shared" si="6"/>
        <v>15.00482</v>
      </c>
      <c r="Q9" s="4">
        <f t="shared" si="7"/>
        <v>677.90943776733081</v>
      </c>
      <c r="R9" s="3"/>
      <c r="S9" t="str">
        <f t="shared" si="8"/>
        <v/>
      </c>
    </row>
    <row r="10" spans="1:19" x14ac:dyDescent="0.4">
      <c r="A10" s="7">
        <v>46042</v>
      </c>
      <c r="B10" s="3" t="s">
        <v>14</v>
      </c>
      <c r="C10" s="3" t="s">
        <v>21</v>
      </c>
      <c r="D10" s="3" t="s">
        <v>25</v>
      </c>
      <c r="E10" s="3">
        <v>94</v>
      </c>
      <c r="F10" s="3">
        <v>58.7</v>
      </c>
      <c r="G10" s="3">
        <v>2.36</v>
      </c>
      <c r="H10">
        <f t="shared" si="0"/>
        <v>94</v>
      </c>
      <c r="I10" s="4">
        <f t="shared" si="1"/>
        <v>5517.8</v>
      </c>
      <c r="J10" s="4">
        <f t="shared" si="2"/>
        <v>-5520.16</v>
      </c>
      <c r="K10" s="5">
        <f>IF(OR(B10="",C10=""),"",SUMIFS($H$4:H9,$B$4:B9,B10,$C$4:C9,C10))</f>
        <v>1049</v>
      </c>
      <c r="L10" s="4">
        <f>IF(OR(B10="",C10=""),"",IFERROR(LOOKUP(2,1/(($B$4:B9=B10)*($C$4:C9=C10)),$O$4:O9),0))</f>
        <v>62060.359783513733</v>
      </c>
      <c r="M10" s="4">
        <f t="shared" si="3"/>
        <v>59.161448792672765</v>
      </c>
      <c r="N10" s="4">
        <f t="shared" si="4"/>
        <v>0</v>
      </c>
      <c r="O10" s="4">
        <f t="shared" si="5"/>
        <v>67580.519783513737</v>
      </c>
      <c r="P10" s="5">
        <f t="shared" si="6"/>
        <v>1143</v>
      </c>
      <c r="Q10" s="4">
        <f t="shared" si="7"/>
        <v>59.125564115060136</v>
      </c>
      <c r="R10" s="3"/>
      <c r="S10" t="str">
        <f t="shared" si="8"/>
        <v/>
      </c>
    </row>
    <row r="11" spans="1:19" x14ac:dyDescent="0.4">
      <c r="A11" s="7">
        <v>46043</v>
      </c>
      <c r="B11" s="3" t="s">
        <v>16</v>
      </c>
      <c r="C11" s="3" t="s">
        <v>22</v>
      </c>
      <c r="D11" s="3" t="s">
        <v>26</v>
      </c>
      <c r="E11" s="3">
        <v>15.00482</v>
      </c>
      <c r="F11" s="3">
        <v>682.59</v>
      </c>
      <c r="G11" s="3">
        <v>2.0499999999999998</v>
      </c>
      <c r="H11">
        <f t="shared" si="0"/>
        <v>-15.00482</v>
      </c>
      <c r="I11" s="4">
        <f t="shared" si="1"/>
        <v>10242.140083800001</v>
      </c>
      <c r="J11" s="4">
        <f t="shared" si="2"/>
        <v>10240.090083800002</v>
      </c>
      <c r="K11" s="5">
        <f>IF(OR(B11="",C11=""),"",SUMIFS($H$4:H10,$B$4:B10,B11,$C$4:C10,C11))</f>
        <v>15.00482</v>
      </c>
      <c r="L11" s="4">
        <f>IF(OR(B11="",C11=""),"",IFERROR(LOOKUP(2,1/(($B$4:B10=B11)*($C$4:C10=C11)),$O$4:O10),0))</f>
        <v>10171.909090000001</v>
      </c>
      <c r="M11" s="4">
        <f t="shared" si="3"/>
        <v>677.90943776733081</v>
      </c>
      <c r="N11" s="4">
        <f t="shared" si="4"/>
        <v>68.180993799999726</v>
      </c>
      <c r="O11" s="4">
        <f t="shared" si="5"/>
        <v>0</v>
      </c>
      <c r="P11" s="5">
        <f t="shared" si="6"/>
        <v>0</v>
      </c>
      <c r="Q11" s="4">
        <f t="shared" si="7"/>
        <v>0</v>
      </c>
      <c r="R11" s="3"/>
      <c r="S11" t="str">
        <f t="shared" si="8"/>
        <v/>
      </c>
    </row>
    <row r="12" spans="1:19" x14ac:dyDescent="0.4">
      <c r="A12" s="7">
        <v>46045</v>
      </c>
      <c r="B12" s="3" t="s">
        <v>14</v>
      </c>
      <c r="C12" s="3" t="s">
        <v>21</v>
      </c>
      <c r="D12" s="3" t="s">
        <v>25</v>
      </c>
      <c r="E12" s="3">
        <v>245</v>
      </c>
      <c r="F12" s="3">
        <v>58.94</v>
      </c>
      <c r="G12" s="3">
        <v>2.95</v>
      </c>
      <c r="H12">
        <f t="shared" si="0"/>
        <v>245</v>
      </c>
      <c r="I12" s="4">
        <f t="shared" si="1"/>
        <v>14440.3</v>
      </c>
      <c r="J12" s="4">
        <f t="shared" si="2"/>
        <v>-14443.25</v>
      </c>
      <c r="K12" s="5">
        <f>IF(OR(B12="",C12=""),"",SUMIFS($H$4:H11,$B$4:B11,B12,$C$4:C11,C12))</f>
        <v>1143</v>
      </c>
      <c r="L12" s="4">
        <f>IF(OR(B12="",C12=""),"",IFERROR(LOOKUP(2,1/(($B$4:B11=B12)*($C$4:C11=C12)),$O$4:O11),0))</f>
        <v>67580.519783513737</v>
      </c>
      <c r="M12" s="4">
        <f t="shared" si="3"/>
        <v>59.125564115060136</v>
      </c>
      <c r="N12" s="4">
        <f t="shared" si="4"/>
        <v>0</v>
      </c>
      <c r="O12" s="4">
        <f t="shared" si="5"/>
        <v>82023.769783513737</v>
      </c>
      <c r="P12" s="5">
        <f t="shared" si="6"/>
        <v>1388</v>
      </c>
      <c r="Q12" s="4">
        <f t="shared" si="7"/>
        <v>59.094935002531514</v>
      </c>
      <c r="R12" s="3"/>
      <c r="S12" t="str">
        <f t="shared" si="8"/>
        <v/>
      </c>
    </row>
    <row r="13" spans="1:19" x14ac:dyDescent="0.4">
      <c r="A13" s="7">
        <v>46045</v>
      </c>
      <c r="B13" s="3" t="s">
        <v>14</v>
      </c>
      <c r="C13" s="3" t="s">
        <v>21</v>
      </c>
      <c r="D13" s="3" t="s">
        <v>26</v>
      </c>
      <c r="E13" s="3">
        <v>728</v>
      </c>
      <c r="F13" s="3">
        <v>59.33</v>
      </c>
      <c r="G13" s="3">
        <v>8.6300000000000008</v>
      </c>
      <c r="H13">
        <f t="shared" si="0"/>
        <v>-728</v>
      </c>
      <c r="I13" s="4">
        <f t="shared" si="1"/>
        <v>43192.24</v>
      </c>
      <c r="J13" s="4">
        <f t="shared" si="2"/>
        <v>43183.61</v>
      </c>
      <c r="K13" s="5">
        <f>IF(OR(B13="",C13=""),"",SUMIFS($H$4:H12,$B$4:B12,B13,$C$4:C12,C13))</f>
        <v>1388</v>
      </c>
      <c r="L13" s="4">
        <f>IF(OR(B13="",C13=""),"",IFERROR(LOOKUP(2,1/(($B$4:B12=B13)*($C$4:C12=C13)),$O$4:O12),0))</f>
        <v>82023.769783513737</v>
      </c>
      <c r="M13" s="4">
        <f t="shared" si="3"/>
        <v>59.094935002531514</v>
      </c>
      <c r="N13" s="4">
        <f t="shared" si="4"/>
        <v>162.4973181570565</v>
      </c>
      <c r="O13" s="4">
        <f t="shared" si="5"/>
        <v>39002.657101670797</v>
      </c>
      <c r="P13" s="5">
        <f t="shared" si="6"/>
        <v>660</v>
      </c>
      <c r="Q13" s="4">
        <f t="shared" si="7"/>
        <v>59.094935002531507</v>
      </c>
      <c r="R13" s="3" t="s">
        <v>85</v>
      </c>
      <c r="S13" t="str">
        <f t="shared" si="8"/>
        <v/>
      </c>
    </row>
    <row r="14" spans="1:19" x14ac:dyDescent="0.4">
      <c r="A14" s="7">
        <v>46045</v>
      </c>
      <c r="B14" s="3" t="s">
        <v>15</v>
      </c>
      <c r="C14" s="3" t="s">
        <v>21</v>
      </c>
      <c r="D14" s="3" t="s">
        <v>25</v>
      </c>
      <c r="E14" s="3">
        <v>128</v>
      </c>
      <c r="F14" s="3">
        <v>203.14</v>
      </c>
      <c r="G14" s="3">
        <v>2.4900000000000002</v>
      </c>
      <c r="H14">
        <f t="shared" si="0"/>
        <v>128</v>
      </c>
      <c r="I14" s="4">
        <f t="shared" si="1"/>
        <v>26001.919999999998</v>
      </c>
      <c r="J14" s="4">
        <f t="shared" si="2"/>
        <v>-26004.41</v>
      </c>
      <c r="K14" s="5">
        <f>IF(OR(B14="",C14=""),"",SUMIFS($H$4:H13,$B$4:B13,B14,$C$4:C13,C14))</f>
        <v>0</v>
      </c>
      <c r="L14" s="4">
        <f>IF(OR(B14="",C14=""),"",IFERROR(LOOKUP(2,1/(($B$4:B13=B14)*($C$4:C13=C14)),$O$4:O13),0))</f>
        <v>0</v>
      </c>
      <c r="M14" s="4">
        <f t="shared" si="3"/>
        <v>0</v>
      </c>
      <c r="N14" s="4">
        <f t="shared" si="4"/>
        <v>0</v>
      </c>
      <c r="O14" s="4">
        <f t="shared" si="5"/>
        <v>26004.41</v>
      </c>
      <c r="P14" s="5">
        <f t="shared" si="6"/>
        <v>128</v>
      </c>
      <c r="Q14" s="4">
        <f t="shared" si="7"/>
        <v>203.159453125</v>
      </c>
      <c r="R14" s="3"/>
      <c r="S14" t="str">
        <f t="shared" si="8"/>
        <v/>
      </c>
    </row>
    <row r="15" spans="1:19" x14ac:dyDescent="0.4">
      <c r="A15" s="7">
        <v>46050</v>
      </c>
      <c r="B15" s="3" t="s">
        <v>17</v>
      </c>
      <c r="C15" s="3" t="s">
        <v>22</v>
      </c>
      <c r="D15" s="3" t="s">
        <v>25</v>
      </c>
      <c r="E15" s="3">
        <v>15</v>
      </c>
      <c r="F15" s="3">
        <v>635.88</v>
      </c>
      <c r="G15" s="3">
        <v>2.0499999999999998</v>
      </c>
      <c r="H15">
        <f t="shared" si="0"/>
        <v>15</v>
      </c>
      <c r="I15" s="4">
        <f t="shared" si="1"/>
        <v>9538.2000000000007</v>
      </c>
      <c r="J15" s="4">
        <f t="shared" si="2"/>
        <v>-9540.25</v>
      </c>
      <c r="K15" s="5">
        <f>IF(OR(B15="",C15=""),"",SUMIFS($H$4:H14,$B$4:B14,B15,$C$4:C14,C15))</f>
        <v>0</v>
      </c>
      <c r="L15" s="4">
        <f>IF(OR(B15="",C15=""),"",IFERROR(LOOKUP(2,1/(($B$4:B14=B15)*($C$4:C14=C15)),$O$4:O14),0))</f>
        <v>0</v>
      </c>
      <c r="M15" s="4">
        <f t="shared" si="3"/>
        <v>0</v>
      </c>
      <c r="N15" s="4">
        <f t="shared" si="4"/>
        <v>0</v>
      </c>
      <c r="O15" s="4">
        <f t="shared" si="5"/>
        <v>9540.25</v>
      </c>
      <c r="P15" s="5">
        <f t="shared" si="6"/>
        <v>15</v>
      </c>
      <c r="Q15" s="4">
        <f t="shared" si="7"/>
        <v>636.01666666666665</v>
      </c>
      <c r="R15" s="3"/>
      <c r="S15" t="str">
        <f t="shared" si="8"/>
        <v/>
      </c>
    </row>
    <row r="16" spans="1:19" x14ac:dyDescent="0.4">
      <c r="A16" s="7">
        <v>46059</v>
      </c>
      <c r="B16" s="3" t="s">
        <v>17</v>
      </c>
      <c r="C16" s="3" t="s">
        <v>22</v>
      </c>
      <c r="D16" s="3" t="s">
        <v>26</v>
      </c>
      <c r="E16" s="3">
        <v>15</v>
      </c>
      <c r="F16" s="3">
        <v>599.29999999999995</v>
      </c>
      <c r="G16" s="3">
        <v>2.0499999999999998</v>
      </c>
      <c r="H16">
        <f t="shared" si="0"/>
        <v>-15</v>
      </c>
      <c r="I16" s="4">
        <f t="shared" si="1"/>
        <v>8989.5</v>
      </c>
      <c r="J16" s="4">
        <f t="shared" si="2"/>
        <v>8987.4500000000007</v>
      </c>
      <c r="K16" s="5">
        <f>IF(OR(B16="",C16=""),"",SUMIFS($H$4:H15,$B$4:B15,B16,$C$4:C15,C16))</f>
        <v>15</v>
      </c>
      <c r="L16" s="4">
        <f>IF(OR(B16="",C16=""),"",IFERROR(LOOKUP(2,1/(($B$4:B15=B16)*($C$4:C15=C16)),$O$4:O15),0))</f>
        <v>9540.25</v>
      </c>
      <c r="M16" s="4">
        <f t="shared" si="3"/>
        <v>636.01666666666665</v>
      </c>
      <c r="N16" s="4">
        <f t="shared" si="4"/>
        <v>-552.80000000000041</v>
      </c>
      <c r="O16" s="4">
        <f t="shared" si="5"/>
        <v>0</v>
      </c>
      <c r="P16" s="5">
        <f t="shared" si="6"/>
        <v>0</v>
      </c>
      <c r="Q16" s="4">
        <f t="shared" si="7"/>
        <v>0</v>
      </c>
      <c r="R16" s="3"/>
      <c r="S16" t="str">
        <f t="shared" si="8"/>
        <v/>
      </c>
    </row>
    <row r="17" spans="1:19" x14ac:dyDescent="0.4">
      <c r="A17" s="7">
        <v>46059</v>
      </c>
      <c r="B17" s="3" t="s">
        <v>18</v>
      </c>
      <c r="C17" s="3" t="s">
        <v>22</v>
      </c>
      <c r="D17" s="3" t="s">
        <v>26</v>
      </c>
      <c r="E17" s="3">
        <v>31</v>
      </c>
      <c r="F17" s="3">
        <v>336.55</v>
      </c>
      <c r="G17" s="3">
        <v>2.11</v>
      </c>
      <c r="H17">
        <f t="shared" si="0"/>
        <v>-31</v>
      </c>
      <c r="I17" s="4">
        <f t="shared" si="1"/>
        <v>10433.050000000001</v>
      </c>
      <c r="J17" s="4">
        <f t="shared" si="2"/>
        <v>10430.94</v>
      </c>
      <c r="K17" s="5">
        <f>IF(OR(B17="",C17=""),"",SUMIFS($H$4:H16,$B$4:B16,B17,$C$4:C16,C17))</f>
        <v>31</v>
      </c>
      <c r="L17" s="4">
        <f>IF(OR(B17="",C17=""),"",IFERROR(LOOKUP(2,1/(($B$4:B16=B17)*($C$4:C16=C17)),$O$4:O16),0))</f>
        <v>9973.3200000000015</v>
      </c>
      <c r="M17" s="4">
        <f t="shared" si="3"/>
        <v>321.72000000000003</v>
      </c>
      <c r="N17" s="4">
        <f t="shared" si="4"/>
        <v>457.61999999999949</v>
      </c>
      <c r="O17" s="4">
        <f t="shared" si="5"/>
        <v>0</v>
      </c>
      <c r="P17" s="5">
        <f t="shared" si="6"/>
        <v>0</v>
      </c>
      <c r="Q17" s="4">
        <f t="shared" si="7"/>
        <v>0</v>
      </c>
      <c r="R17" s="3"/>
      <c r="S17" t="str">
        <f t="shared" si="8"/>
        <v/>
      </c>
    </row>
    <row r="18" spans="1:19" x14ac:dyDescent="0.4">
      <c r="A18" s="7">
        <v>46060</v>
      </c>
      <c r="B18" s="3" t="s">
        <v>14</v>
      </c>
      <c r="C18" s="3" t="s">
        <v>21</v>
      </c>
      <c r="D18" s="3" t="s">
        <v>25</v>
      </c>
      <c r="E18" s="3">
        <v>4.7754099999999999</v>
      </c>
      <c r="F18" s="3">
        <v>57.93</v>
      </c>
      <c r="G18" s="3">
        <v>2.0099999999999998</v>
      </c>
      <c r="H18">
        <f t="shared" si="0"/>
        <v>4.7754099999999999</v>
      </c>
      <c r="I18" s="4">
        <f t="shared" si="1"/>
        <v>276.63950130000001</v>
      </c>
      <c r="J18" s="4">
        <f t="shared" si="2"/>
        <v>-278.6495013</v>
      </c>
      <c r="K18" s="5">
        <f>IF(OR(B18="",C18=""),"",SUMIFS($H$4:H17,$B$4:B17,B18,$C$4:C17,C18))</f>
        <v>660</v>
      </c>
      <c r="L18" s="4">
        <f>IF(OR(B18="",C18=""),"",IFERROR(LOOKUP(2,1/(($B$4:B17=B18)*($C$4:C17=C18)),$O$4:O17),0))</f>
        <v>39002.657101670797</v>
      </c>
      <c r="M18" s="4">
        <f t="shared" si="3"/>
        <v>59.094935002531507</v>
      </c>
      <c r="N18" s="4">
        <f t="shared" si="4"/>
        <v>0</v>
      </c>
      <c r="O18" s="4">
        <f t="shared" si="5"/>
        <v>39281.306602970799</v>
      </c>
      <c r="P18" s="5">
        <f t="shared" si="6"/>
        <v>664.77540999999997</v>
      </c>
      <c r="Q18" s="4">
        <f t="shared" si="7"/>
        <v>59.089590276768512</v>
      </c>
      <c r="R18" s="3" t="s">
        <v>84</v>
      </c>
      <c r="S18" t="str">
        <f t="shared" si="8"/>
        <v/>
      </c>
    </row>
    <row r="19" spans="1:19" x14ac:dyDescent="0.4">
      <c r="A19" s="7">
        <v>46079</v>
      </c>
      <c r="B19" s="3" t="s">
        <v>18</v>
      </c>
      <c r="C19" s="3" t="s">
        <v>22</v>
      </c>
      <c r="D19" s="3" t="s">
        <v>25</v>
      </c>
      <c r="E19" s="3">
        <v>28</v>
      </c>
      <c r="F19" s="3">
        <v>366.88</v>
      </c>
      <c r="G19" s="3">
        <v>2.1</v>
      </c>
      <c r="H19">
        <f t="shared" si="0"/>
        <v>28</v>
      </c>
      <c r="I19" s="4">
        <f t="shared" si="1"/>
        <v>10272.64</v>
      </c>
      <c r="J19" s="4">
        <f t="shared" si="2"/>
        <v>-10274.74</v>
      </c>
      <c r="K19" s="5">
        <f>IF(OR(B19="",C19=""),"",SUMIFS($H$4:H18,$B$4:B18,B19,$C$4:C18,C19))</f>
        <v>0</v>
      </c>
      <c r="L19" s="4">
        <f>IF(OR(B19="",C19=""),"",IFERROR(LOOKUP(2,1/(($B$4:B18=B19)*($C$4:C18=C19)),$O$4:O18),0))</f>
        <v>0</v>
      </c>
      <c r="M19" s="4">
        <f t="shared" si="3"/>
        <v>0</v>
      </c>
      <c r="N19" s="4">
        <f t="shared" si="4"/>
        <v>0</v>
      </c>
      <c r="O19" s="4">
        <f t="shared" si="5"/>
        <v>10274.74</v>
      </c>
      <c r="P19" s="5">
        <f t="shared" si="6"/>
        <v>28</v>
      </c>
      <c r="Q19" s="4">
        <f t="shared" si="7"/>
        <v>366.95499999999998</v>
      </c>
      <c r="R19" s="3"/>
      <c r="S19" t="str">
        <f t="shared" si="8"/>
        <v/>
      </c>
    </row>
    <row r="20" spans="1:19" x14ac:dyDescent="0.4">
      <c r="A20" s="7">
        <v>46085</v>
      </c>
      <c r="B20" s="3" t="s">
        <v>18</v>
      </c>
      <c r="C20" s="3" t="s">
        <v>22</v>
      </c>
      <c r="D20" s="3" t="s">
        <v>26</v>
      </c>
      <c r="E20" s="3">
        <v>28</v>
      </c>
      <c r="F20" s="3">
        <v>329.01</v>
      </c>
      <c r="G20" s="3">
        <v>2.1</v>
      </c>
      <c r="H20">
        <f t="shared" si="0"/>
        <v>-28</v>
      </c>
      <c r="I20" s="4">
        <f t="shared" si="1"/>
        <v>9212.2799999999988</v>
      </c>
      <c r="J20" s="4">
        <f t="shared" si="2"/>
        <v>9210.1799999999985</v>
      </c>
      <c r="K20" s="5">
        <f>IF(OR(B20="",C20=""),"",SUMIFS($H$4:H19,$B$4:B19,B20,$C$4:C19,C20))</f>
        <v>28</v>
      </c>
      <c r="L20" s="4">
        <f>IF(OR(B20="",C20=""),"",IFERROR(LOOKUP(2,1/(($B$4:B19=B20)*($C$4:C19=C20)),$O$4:O19),0))</f>
        <v>10274.74</v>
      </c>
      <c r="M20" s="4">
        <f t="shared" si="3"/>
        <v>366.95499999999998</v>
      </c>
      <c r="N20" s="4">
        <f t="shared" si="4"/>
        <v>-1064.5599999999997</v>
      </c>
      <c r="O20" s="4">
        <f t="shared" si="5"/>
        <v>0</v>
      </c>
      <c r="P20" s="5">
        <f t="shared" si="6"/>
        <v>0</v>
      </c>
      <c r="Q20" s="4">
        <f t="shared" si="7"/>
        <v>0</v>
      </c>
      <c r="R20" s="3"/>
      <c r="S20" t="str">
        <f t="shared" si="8"/>
        <v/>
      </c>
    </row>
    <row r="21" spans="1:19" x14ac:dyDescent="0.4">
      <c r="A21" s="7">
        <v>46088</v>
      </c>
      <c r="B21" s="3" t="s">
        <v>14</v>
      </c>
      <c r="C21" s="3" t="s">
        <v>21</v>
      </c>
      <c r="D21" s="3" t="s">
        <v>25</v>
      </c>
      <c r="E21" s="3">
        <v>5.3239400000000003</v>
      </c>
      <c r="F21" s="3">
        <v>57.18</v>
      </c>
      <c r="G21" s="3">
        <v>2.0099999999999998</v>
      </c>
      <c r="H21">
        <f t="shared" si="0"/>
        <v>5.3239400000000003</v>
      </c>
      <c r="I21" s="4">
        <f t="shared" si="1"/>
        <v>304.42288920000004</v>
      </c>
      <c r="J21" s="4">
        <f t="shared" si="2"/>
        <v>-306.43288920000003</v>
      </c>
      <c r="K21" s="5">
        <f>IF(OR(B21="",C21=""),"",SUMIFS($H$4:H20,$B$4:B20,B21,$C$4:C20,C21))</f>
        <v>664.77540999999997</v>
      </c>
      <c r="L21" s="4">
        <f>IF(OR(B21="",C21=""),"",IFERROR(LOOKUP(2,1/(($B$4:B20=B21)*($C$4:C20=C21)),$O$4:O20),0))</f>
        <v>39281.306602970799</v>
      </c>
      <c r="M21" s="4">
        <f t="shared" ref="M21" si="9">IF(K21=0,0,L21/K21)</f>
        <v>59.089590276768512</v>
      </c>
      <c r="N21" s="4">
        <f t="shared" ref="N21" si="10">IF(H21&lt;0,ABS(H21)*(F21-M21)-G21,0)</f>
        <v>0</v>
      </c>
      <c r="O21" s="4">
        <f t="shared" ref="O21" si="11">IF(H21="","",IF(H21&gt;0,L21+I21+G21,MAX(0,L21-ABS(H21)*M21)))</f>
        <v>39587.739492170804</v>
      </c>
      <c r="P21" s="5">
        <f t="shared" ref="P21" si="12">IF(H21="","",K21+H21)</f>
        <v>670.09934999999996</v>
      </c>
      <c r="Q21" s="4">
        <f t="shared" ref="Q21" si="13">IF(P21=0,0,O21/P21)</f>
        <v>59.07741813534188</v>
      </c>
      <c r="R21" s="3" t="s">
        <v>84</v>
      </c>
    </row>
    <row r="22" spans="1:19" x14ac:dyDescent="0.4">
      <c r="A22" s="7">
        <v>46105</v>
      </c>
      <c r="B22" s="3" t="s">
        <v>15</v>
      </c>
      <c r="C22" s="3" t="s">
        <v>21</v>
      </c>
      <c r="D22" s="3" t="s">
        <v>25</v>
      </c>
      <c r="E22" s="3">
        <v>0.24931</v>
      </c>
      <c r="F22" s="3">
        <v>194.01</v>
      </c>
      <c r="G22" s="3">
        <v>0.48</v>
      </c>
      <c r="H22">
        <f t="shared" si="0"/>
        <v>0.24931</v>
      </c>
      <c r="I22" s="4">
        <f t="shared" si="1"/>
        <v>48.368633099999997</v>
      </c>
      <c r="J22" s="4">
        <f t="shared" si="2"/>
        <v>-48.848633099999994</v>
      </c>
      <c r="K22" s="5">
        <f>IF(OR(B22="",C22=""),"",SUMIFS($H$4:H20,$B$4:B20,B22,$C$4:C20,C22))</f>
        <v>128</v>
      </c>
      <c r="L22" s="4">
        <f>IF(OR(B22="",C22=""),"",IFERROR(LOOKUP(2,1/(($B$4:B20=B22)*($C$4:C20=C22)),$O$4:O20),0))</f>
        <v>26004.41</v>
      </c>
      <c r="M22" s="4">
        <f t="shared" si="3"/>
        <v>203.159453125</v>
      </c>
      <c r="N22" s="4">
        <f t="shared" si="4"/>
        <v>0</v>
      </c>
      <c r="O22" s="4">
        <f t="shared" si="5"/>
        <v>26053.258633099998</v>
      </c>
      <c r="P22" s="5">
        <f t="shared" si="6"/>
        <v>128.24931000000001</v>
      </c>
      <c r="Q22" s="4">
        <f t="shared" si="7"/>
        <v>203.14540977335471</v>
      </c>
      <c r="R22" s="3" t="s">
        <v>84</v>
      </c>
      <c r="S22" t="str">
        <f t="shared" si="8"/>
        <v/>
      </c>
    </row>
    <row r="23" spans="1:19" x14ac:dyDescent="0.4">
      <c r="A23" s="7">
        <v>46120</v>
      </c>
      <c r="B23" s="3" t="s">
        <v>14</v>
      </c>
      <c r="C23" s="3" t="s">
        <v>21</v>
      </c>
      <c r="D23" s="3" t="s">
        <v>25</v>
      </c>
      <c r="E23" s="3">
        <v>6.0602600000000004</v>
      </c>
      <c r="F23" s="3">
        <v>55.58</v>
      </c>
      <c r="G23" s="3">
        <v>2.0099999999999998</v>
      </c>
      <c r="H23">
        <f t="shared" si="0"/>
        <v>6.0602600000000004</v>
      </c>
      <c r="I23" s="4">
        <f t="shared" si="1"/>
        <v>336.82925080000001</v>
      </c>
      <c r="J23" s="4">
        <f t="shared" si="2"/>
        <v>-338.8392508</v>
      </c>
      <c r="K23" s="5">
        <f>IF(OR(B23="",C23=""),"",SUMIFS($H$4:H21,$B$4:B21,B23,$C$4:C21,C23))</f>
        <v>670.09934999999996</v>
      </c>
      <c r="L23" s="4">
        <f>IF(OR(B23="",C23=""),"",IFERROR(LOOKUP(2,1/(($B$4:B21=B23)*($C$4:C21=C23)),$O$4:O21),0))</f>
        <v>39587.739492170804</v>
      </c>
      <c r="M23" s="4">
        <f t="shared" ref="M23" si="14">IF(K23=0,0,L23/K23)</f>
        <v>59.07741813534188</v>
      </c>
      <c r="N23" s="4">
        <f t="shared" ref="N23" si="15">IF(H23&lt;0,ABS(H23)*(F23-M23)-G23,0)</f>
        <v>0</v>
      </c>
      <c r="O23" s="4">
        <f t="shared" ref="O23" si="16">IF(H23="","",IF(H23&gt;0,L23+I23+G23,MAX(0,L23-ABS(H23)*M23)))</f>
        <v>39926.578742970807</v>
      </c>
      <c r="P23" s="5">
        <f t="shared" ref="P23" si="17">IF(H23="","",K23+H23)</f>
        <v>676.15960999999993</v>
      </c>
      <c r="Q23" s="4">
        <f t="shared" ref="Q23" si="18">IF(P23=0,0,O23/P23)</f>
        <v>59.049044267774015</v>
      </c>
      <c r="R23" s="3" t="s">
        <v>84</v>
      </c>
    </row>
    <row r="24" spans="1:19" x14ac:dyDescent="0.4">
      <c r="A24" s="7">
        <v>46121</v>
      </c>
      <c r="B24" s="3" t="s">
        <v>18</v>
      </c>
      <c r="C24" s="3" t="s">
        <v>22</v>
      </c>
      <c r="D24" s="3" t="s">
        <v>25</v>
      </c>
      <c r="E24" s="3">
        <v>26</v>
      </c>
      <c r="F24" s="3">
        <v>373.79</v>
      </c>
      <c r="G24" s="3">
        <v>2.09</v>
      </c>
      <c r="H24">
        <f t="shared" si="0"/>
        <v>26</v>
      </c>
      <c r="I24" s="4">
        <f t="shared" si="1"/>
        <v>9718.5400000000009</v>
      </c>
      <c r="J24" s="4">
        <f t="shared" si="2"/>
        <v>-9720.630000000001</v>
      </c>
      <c r="K24" s="5">
        <f>IF(OR(B24="",C24=""),"",SUMIFS($H$4:H22,$B$4:B22,B24,$C$4:C22,C24))</f>
        <v>0</v>
      </c>
      <c r="L24" s="4">
        <f>IF(OR(B24="",C24=""),"",IFERROR(LOOKUP(2,1/(($B$4:B22=B24)*($C$4:C22=C24)),$O$4:O22),0))</f>
        <v>0</v>
      </c>
      <c r="M24" s="4">
        <f t="shared" si="3"/>
        <v>0</v>
      </c>
      <c r="N24" s="4">
        <f t="shared" si="4"/>
        <v>0</v>
      </c>
      <c r="O24" s="4">
        <f t="shared" si="5"/>
        <v>9720.630000000001</v>
      </c>
      <c r="P24" s="5">
        <f t="shared" si="6"/>
        <v>26</v>
      </c>
      <c r="Q24" s="4">
        <f t="shared" si="7"/>
        <v>373.87038461538464</v>
      </c>
      <c r="R24" s="3"/>
      <c r="S24" t="str">
        <f t="shared" si="8"/>
        <v/>
      </c>
    </row>
    <row r="25" spans="1:19" x14ac:dyDescent="0.4">
      <c r="A25" s="7">
        <v>46127</v>
      </c>
      <c r="B25" s="3" t="s">
        <v>16</v>
      </c>
      <c r="C25" s="3" t="s">
        <v>22</v>
      </c>
      <c r="D25" s="3" t="s">
        <v>25</v>
      </c>
      <c r="E25" s="3">
        <v>14</v>
      </c>
      <c r="F25" s="3">
        <v>695.17</v>
      </c>
      <c r="G25" s="3">
        <v>2.04</v>
      </c>
      <c r="H25">
        <f t="shared" si="0"/>
        <v>14</v>
      </c>
      <c r="I25" s="4">
        <f t="shared" si="1"/>
        <v>9732.3799999999992</v>
      </c>
      <c r="J25" s="4">
        <f t="shared" si="2"/>
        <v>-9734.42</v>
      </c>
      <c r="K25" s="5">
        <f>IF(OR(B25="",C25=""),"",SUMIFS($H$4:H24,$B$4:B24,B25,$C$4:C24,C25))</f>
        <v>0</v>
      </c>
      <c r="L25" s="4">
        <f>IF(OR(B25="",C25=""),"",IFERROR(LOOKUP(2,1/(($B$4:B24=B25)*($C$4:C24=C25)),$O$4:O24),0))</f>
        <v>0</v>
      </c>
      <c r="M25" s="4">
        <f t="shared" si="3"/>
        <v>0</v>
      </c>
      <c r="N25" s="4">
        <f t="shared" si="4"/>
        <v>0</v>
      </c>
      <c r="O25" s="4">
        <f t="shared" si="5"/>
        <v>9734.42</v>
      </c>
      <c r="P25" s="5">
        <f t="shared" si="6"/>
        <v>14</v>
      </c>
      <c r="Q25" s="4">
        <f t="shared" si="7"/>
        <v>695.31571428571431</v>
      </c>
      <c r="R25" s="3"/>
      <c r="S25" t="str">
        <f t="shared" si="8"/>
        <v/>
      </c>
    </row>
    <row r="26" spans="1:19" x14ac:dyDescent="0.4">
      <c r="A26" s="7">
        <v>46127</v>
      </c>
      <c r="B26" s="3" t="s">
        <v>17</v>
      </c>
      <c r="C26" s="3" t="s">
        <v>22</v>
      </c>
      <c r="D26" s="3" t="s">
        <v>25</v>
      </c>
      <c r="E26" s="3">
        <v>6</v>
      </c>
      <c r="F26" s="3">
        <v>628.74</v>
      </c>
      <c r="G26" s="3">
        <v>2.0099999999999998</v>
      </c>
      <c r="H26">
        <f t="shared" si="0"/>
        <v>6</v>
      </c>
      <c r="I26" s="4">
        <f t="shared" si="1"/>
        <v>3772.44</v>
      </c>
      <c r="J26" s="4">
        <f t="shared" si="2"/>
        <v>-3774.4500000000003</v>
      </c>
      <c r="K26" s="5">
        <f>IF(OR(B26="",C26=""),"",SUMIFS($H$4:H25,$B$4:B25,B26,$C$4:C25,C26))</f>
        <v>0</v>
      </c>
      <c r="L26" s="4">
        <f>IF(OR(B26="",C26=""),"",IFERROR(LOOKUP(2,1/(($B$4:B25=B26)*($C$4:C25=C26)),$O$4:O25),0))</f>
        <v>0</v>
      </c>
      <c r="M26" s="4">
        <f t="shared" si="3"/>
        <v>0</v>
      </c>
      <c r="N26" s="4">
        <f t="shared" si="4"/>
        <v>0</v>
      </c>
      <c r="O26" s="4">
        <f t="shared" si="5"/>
        <v>3774.4500000000003</v>
      </c>
      <c r="P26" s="5">
        <f t="shared" si="6"/>
        <v>6</v>
      </c>
      <c r="Q26" s="4">
        <f t="shared" si="7"/>
        <v>629.07500000000005</v>
      </c>
      <c r="R26" s="3"/>
      <c r="S26" t="str">
        <f t="shared" si="8"/>
        <v/>
      </c>
    </row>
    <row r="27" spans="1:19" x14ac:dyDescent="0.4">
      <c r="A27" s="7">
        <v>46127</v>
      </c>
      <c r="B27" s="3" t="s">
        <v>14</v>
      </c>
      <c r="C27" s="3" t="s">
        <v>21</v>
      </c>
      <c r="D27" s="3" t="s">
        <v>26</v>
      </c>
      <c r="E27" s="3">
        <v>100.15961</v>
      </c>
      <c r="F27" s="3">
        <v>58.44</v>
      </c>
      <c r="G27" s="3">
        <v>2.5099999999999998</v>
      </c>
      <c r="H27">
        <f t="shared" si="0"/>
        <v>-100.15961</v>
      </c>
      <c r="I27" s="4">
        <f t="shared" si="1"/>
        <v>5853.3276083999999</v>
      </c>
      <c r="J27" s="4">
        <f t="shared" si="2"/>
        <v>5850.8176083999997</v>
      </c>
      <c r="K27" s="5">
        <f>IF(OR(B27="",C27=""),"",SUMIFS($H$4:H26,$B$4:B26,B27,$C$4:C26,C27))</f>
        <v>676.15960999999993</v>
      </c>
      <c r="L27" s="4">
        <f>IF(OR(B27="",C27=""),"",IFERROR(LOOKUP(2,1/(($B$4:B26=B27)*($C$4:C26=C27)),$O$4:O26),0))</f>
        <v>39926.578742970807</v>
      </c>
      <c r="M27" s="4">
        <f t="shared" si="3"/>
        <v>59.049044267774015</v>
      </c>
      <c r="N27" s="4">
        <f t="shared" si="4"/>
        <v>-63.511636332981119</v>
      </c>
      <c r="O27" s="4">
        <f t="shared" si="5"/>
        <v>34012.249498237827</v>
      </c>
      <c r="P27" s="5">
        <f t="shared" si="6"/>
        <v>575.99999999999989</v>
      </c>
      <c r="Q27" s="4">
        <f t="shared" si="7"/>
        <v>59.049044267774015</v>
      </c>
      <c r="R27" s="3" t="s">
        <v>85</v>
      </c>
      <c r="S27" t="str">
        <f t="shared" si="8"/>
        <v/>
      </c>
    </row>
    <row r="28" spans="1:19" x14ac:dyDescent="0.4">
      <c r="A28" s="7">
        <v>46127</v>
      </c>
      <c r="B28" s="3" t="s">
        <v>14</v>
      </c>
      <c r="C28" s="3" t="s">
        <v>21</v>
      </c>
      <c r="D28" s="3" t="s">
        <v>26</v>
      </c>
      <c r="E28" s="3">
        <v>26</v>
      </c>
      <c r="F28" s="3">
        <v>58.43</v>
      </c>
      <c r="G28" s="3">
        <v>2.12</v>
      </c>
      <c r="H28">
        <f t="shared" si="0"/>
        <v>-26</v>
      </c>
      <c r="I28" s="4">
        <f t="shared" si="1"/>
        <v>1519.18</v>
      </c>
      <c r="J28" s="4">
        <f t="shared" si="2"/>
        <v>1517.0600000000002</v>
      </c>
      <c r="K28" s="5">
        <f>IF(OR(B28="",C28=""),"",SUMIFS($H$4:H27,$B$4:B27,B28,$C$4:C27,C28))</f>
        <v>575.99999999999989</v>
      </c>
      <c r="L28" s="4">
        <f>IF(OR(B28="",C28=""),"",IFERROR(LOOKUP(2,1/(($B$4:B27=B28)*($C$4:C27=C28)),$O$4:O27),0))</f>
        <v>34012.249498237827</v>
      </c>
      <c r="M28" s="4">
        <f t="shared" si="3"/>
        <v>59.049044267774015</v>
      </c>
      <c r="N28" s="4">
        <f t="shared" si="4"/>
        <v>-18.215150962124394</v>
      </c>
      <c r="O28" s="4">
        <f t="shared" si="5"/>
        <v>32476.974347275704</v>
      </c>
      <c r="P28" s="5">
        <f t="shared" si="6"/>
        <v>549.99999999999989</v>
      </c>
      <c r="Q28" s="4">
        <f t="shared" si="7"/>
        <v>59.049044267774022</v>
      </c>
      <c r="R28" s="3" t="s">
        <v>85</v>
      </c>
      <c r="S28" t="str">
        <f t="shared" si="8"/>
        <v/>
      </c>
    </row>
    <row r="29" spans="1:19" x14ac:dyDescent="0.4">
      <c r="A29" s="7">
        <v>46127</v>
      </c>
      <c r="B29" s="3" t="s">
        <v>17</v>
      </c>
      <c r="C29" s="3" t="s">
        <v>22</v>
      </c>
      <c r="D29" s="3" t="s">
        <v>25</v>
      </c>
      <c r="E29" s="3">
        <v>10</v>
      </c>
      <c r="F29" s="3">
        <v>629.37</v>
      </c>
      <c r="G29" s="3">
        <v>2.0299999999999998</v>
      </c>
      <c r="H29">
        <f t="shared" si="0"/>
        <v>10</v>
      </c>
      <c r="I29" s="4">
        <f t="shared" si="1"/>
        <v>6293.7</v>
      </c>
      <c r="J29" s="4">
        <f t="shared" si="2"/>
        <v>-6295.73</v>
      </c>
      <c r="K29" s="5">
        <f>IF(OR(B29="",C29=""),"",SUMIFS($H$4:H28,$B$4:B28,B29,$C$4:C28,C29))</f>
        <v>6</v>
      </c>
      <c r="L29" s="4">
        <f>IF(OR(B29="",C29=""),"",IFERROR(LOOKUP(2,1/(($B$4:B28=B29)*($C$4:C28=C29)),$O$4:O28),0))</f>
        <v>3774.4500000000003</v>
      </c>
      <c r="M29" s="4">
        <f t="shared" si="3"/>
        <v>629.07500000000005</v>
      </c>
      <c r="N29" s="4">
        <f t="shared" si="4"/>
        <v>0</v>
      </c>
      <c r="O29" s="4">
        <f t="shared" si="5"/>
        <v>10070.18</v>
      </c>
      <c r="P29" s="5">
        <f t="shared" si="6"/>
        <v>16</v>
      </c>
      <c r="Q29" s="4">
        <f t="shared" si="7"/>
        <v>629.38625000000002</v>
      </c>
      <c r="R29" s="3"/>
      <c r="S29" t="str">
        <f t="shared" si="8"/>
        <v/>
      </c>
    </row>
    <row r="30" spans="1:19" x14ac:dyDescent="0.4">
      <c r="A30" s="7">
        <v>46127</v>
      </c>
      <c r="B30" s="3" t="s">
        <v>17</v>
      </c>
      <c r="C30" s="3" t="s">
        <v>22</v>
      </c>
      <c r="D30" s="3" t="s">
        <v>25</v>
      </c>
      <c r="E30" s="3">
        <v>10</v>
      </c>
      <c r="F30" s="3">
        <v>629.29999999999995</v>
      </c>
      <c r="G30" s="3">
        <v>2.0299999999999998</v>
      </c>
      <c r="H30">
        <f t="shared" si="0"/>
        <v>10</v>
      </c>
      <c r="I30" s="4">
        <f t="shared" si="1"/>
        <v>6293</v>
      </c>
      <c r="J30" s="4">
        <f t="shared" si="2"/>
        <v>-6295.03</v>
      </c>
      <c r="K30" s="5">
        <f>IF(OR(B30="",C30=""),"",SUMIFS($H$4:H29,$B$4:B29,B30,$C$4:C29,C30))</f>
        <v>16</v>
      </c>
      <c r="L30" s="4">
        <f>IF(OR(B30="",C30=""),"",IFERROR(LOOKUP(2,1/(($B$4:B29=B30)*($C$4:C29=C30)),$O$4:O29),0))</f>
        <v>10070.18</v>
      </c>
      <c r="M30" s="4">
        <f t="shared" si="3"/>
        <v>629.38625000000002</v>
      </c>
      <c r="N30" s="4">
        <f t="shared" si="4"/>
        <v>0</v>
      </c>
      <c r="O30" s="4">
        <f t="shared" si="5"/>
        <v>16365.210000000001</v>
      </c>
      <c r="P30" s="5">
        <f t="shared" si="6"/>
        <v>26</v>
      </c>
      <c r="Q30" s="4">
        <f t="shared" si="7"/>
        <v>629.43115384615385</v>
      </c>
      <c r="R30" s="3"/>
      <c r="S30" t="str">
        <f t="shared" si="8"/>
        <v/>
      </c>
    </row>
    <row r="31" spans="1:19" x14ac:dyDescent="0.4">
      <c r="A31" s="7">
        <v>46127</v>
      </c>
      <c r="B31" s="3" t="s">
        <v>17</v>
      </c>
      <c r="C31" s="3" t="s">
        <v>22</v>
      </c>
      <c r="D31" s="3" t="s">
        <v>26</v>
      </c>
      <c r="E31" s="3">
        <v>10</v>
      </c>
      <c r="F31" s="3">
        <v>629.17999999999995</v>
      </c>
      <c r="G31" s="3">
        <v>2.16</v>
      </c>
      <c r="H31">
        <f t="shared" si="0"/>
        <v>-10</v>
      </c>
      <c r="I31" s="4">
        <f t="shared" si="1"/>
        <v>6291.7999999999993</v>
      </c>
      <c r="J31" s="4">
        <f t="shared" si="2"/>
        <v>6289.6399999999994</v>
      </c>
      <c r="K31" s="5">
        <f>IF(OR(B31="",C31=""),"",SUMIFS($H$4:H30,$B$4:B30,B31,$C$4:C30,C31))</f>
        <v>26</v>
      </c>
      <c r="L31" s="4">
        <f>IF(OR(B31="",C31=""),"",IFERROR(LOOKUP(2,1/(($B$4:B30=B31)*($C$4:C30=C31)),$O$4:O30),0))</f>
        <v>16365.210000000001</v>
      </c>
      <c r="M31" s="4">
        <f t="shared" si="3"/>
        <v>629.43115384615385</v>
      </c>
      <c r="N31" s="4">
        <f t="shared" si="4"/>
        <v>-4.6715384615389759</v>
      </c>
      <c r="O31" s="4">
        <f t="shared" si="5"/>
        <v>10070.898461538462</v>
      </c>
      <c r="P31" s="5">
        <f t="shared" si="6"/>
        <v>16</v>
      </c>
      <c r="Q31" s="4">
        <f t="shared" si="7"/>
        <v>629.43115384615385</v>
      </c>
      <c r="R31" s="3" t="s">
        <v>85</v>
      </c>
      <c r="S31" t="str">
        <f t="shared" si="8"/>
        <v/>
      </c>
    </row>
    <row r="32" spans="1:19" x14ac:dyDescent="0.4">
      <c r="A32" s="7">
        <v>46127</v>
      </c>
      <c r="B32" s="3" t="s">
        <v>14</v>
      </c>
      <c r="C32" s="3" t="s">
        <v>21</v>
      </c>
      <c r="D32" s="3" t="s">
        <v>25</v>
      </c>
      <c r="E32" s="3">
        <v>189</v>
      </c>
      <c r="F32" s="3">
        <v>58.38</v>
      </c>
      <c r="G32" s="3">
        <v>2.73</v>
      </c>
      <c r="H32">
        <f t="shared" si="0"/>
        <v>189</v>
      </c>
      <c r="I32" s="4">
        <f t="shared" si="1"/>
        <v>11033.82</v>
      </c>
      <c r="J32" s="4">
        <f t="shared" si="2"/>
        <v>-11036.55</v>
      </c>
      <c r="K32" s="5">
        <f>IF(OR(B32="",C32=""),"",SUMIFS($H$4:H31,$B$4:B31,B32,$C$4:C31,C32))</f>
        <v>549.99999999999989</v>
      </c>
      <c r="L32" s="4">
        <f>IF(OR(B32="",C32=""),"",IFERROR(LOOKUP(2,1/(($B$4:B31=B32)*($C$4:C31=C32)),$O$4:O31),0))</f>
        <v>32476.974347275704</v>
      </c>
      <c r="M32" s="4">
        <f t="shared" si="3"/>
        <v>59.049044267774022</v>
      </c>
      <c r="N32" s="4">
        <f t="shared" si="4"/>
        <v>0</v>
      </c>
      <c r="O32" s="4">
        <f t="shared" si="5"/>
        <v>43513.524347275707</v>
      </c>
      <c r="P32" s="5">
        <f t="shared" si="6"/>
        <v>738.99999999999989</v>
      </c>
      <c r="Q32" s="4">
        <f t="shared" si="7"/>
        <v>58.881629698613956</v>
      </c>
      <c r="R32" s="3" t="s">
        <v>85</v>
      </c>
      <c r="S32" t="str">
        <f t="shared" si="8"/>
        <v/>
      </c>
    </row>
    <row r="33" spans="1:19" x14ac:dyDescent="0.4">
      <c r="A33" s="7">
        <v>46127</v>
      </c>
      <c r="B33" s="3" t="s">
        <v>14</v>
      </c>
      <c r="C33" s="3" t="s">
        <v>21</v>
      </c>
      <c r="D33" s="3" t="s">
        <v>26</v>
      </c>
      <c r="E33" s="3">
        <v>289</v>
      </c>
      <c r="F33" s="3">
        <v>58.66</v>
      </c>
      <c r="G33" s="3">
        <v>3.78</v>
      </c>
      <c r="H33">
        <f t="shared" si="0"/>
        <v>-289</v>
      </c>
      <c r="I33" s="4">
        <f t="shared" si="1"/>
        <v>16952.739999999998</v>
      </c>
      <c r="J33" s="4">
        <f t="shared" si="2"/>
        <v>16948.96</v>
      </c>
      <c r="K33" s="5">
        <f>IF(OR(B33="",C33=""),"",SUMIFS($H$4:H32,$B$4:B32,B33,$C$4:C32,C33))</f>
        <v>738.99999999999989</v>
      </c>
      <c r="L33" s="4">
        <f>IF(OR(B33="",C33=""),"",IFERROR(LOOKUP(2,1/(($B$4:B32=B33)*($C$4:C32=C33)),$O$4:O32),0))</f>
        <v>43513.524347275707</v>
      </c>
      <c r="M33" s="4">
        <f t="shared" si="3"/>
        <v>58.881629698613956</v>
      </c>
      <c r="N33" s="4">
        <f t="shared" si="4"/>
        <v>-67.830982899434332</v>
      </c>
      <c r="O33" s="4">
        <f t="shared" si="5"/>
        <v>26496.733364376272</v>
      </c>
      <c r="P33" s="5">
        <f t="shared" si="6"/>
        <v>449.99999999999989</v>
      </c>
      <c r="Q33" s="4">
        <f t="shared" si="7"/>
        <v>58.881629698613956</v>
      </c>
      <c r="R33" s="3" t="s">
        <v>85</v>
      </c>
      <c r="S33" t="str">
        <f t="shared" si="8"/>
        <v/>
      </c>
    </row>
    <row r="34" spans="1:19" x14ac:dyDescent="0.4">
      <c r="A34" s="7">
        <v>46130</v>
      </c>
      <c r="B34" s="3" t="s">
        <v>14</v>
      </c>
      <c r="C34" s="3" t="s">
        <v>21</v>
      </c>
      <c r="D34" s="3" t="s">
        <v>25</v>
      </c>
      <c r="E34" s="3">
        <v>250</v>
      </c>
      <c r="F34" s="3">
        <v>58.64</v>
      </c>
      <c r="G34" s="3">
        <v>2.97</v>
      </c>
      <c r="H34">
        <f t="shared" si="0"/>
        <v>250</v>
      </c>
      <c r="I34" s="4">
        <f t="shared" si="1"/>
        <v>14660</v>
      </c>
      <c r="J34" s="4">
        <f t="shared" si="2"/>
        <v>-14662.97</v>
      </c>
      <c r="K34" s="5">
        <f>IF(OR(B34="",C34=""),"",SUMIFS($H$4:H33,$B$4:B33,B34,$C$4:C33,C34))</f>
        <v>449.99999999999989</v>
      </c>
      <c r="L34" s="4">
        <f>IF(OR(B34="",C34=""),"",IFERROR(LOOKUP(2,1/(($B$4:B33=B34)*($C$4:C33=C34)),$O$4:O33),0))</f>
        <v>26496.733364376272</v>
      </c>
      <c r="M34" s="4">
        <f t="shared" si="3"/>
        <v>58.881629698613956</v>
      </c>
      <c r="N34" s="4">
        <f t="shared" si="4"/>
        <v>0</v>
      </c>
      <c r="O34" s="4">
        <f t="shared" si="5"/>
        <v>41159.70336437627</v>
      </c>
      <c r="P34" s="5">
        <f t="shared" si="6"/>
        <v>699.99999999999989</v>
      </c>
      <c r="Q34" s="4">
        <f t="shared" si="7"/>
        <v>58.799576234823249</v>
      </c>
      <c r="R34" s="3" t="s">
        <v>85</v>
      </c>
      <c r="S34" t="str">
        <f t="shared" si="8"/>
        <v/>
      </c>
    </row>
    <row r="35" spans="1:19" x14ac:dyDescent="0.4">
      <c r="A35" s="7">
        <v>46149</v>
      </c>
      <c r="B35" s="3" t="s">
        <v>14</v>
      </c>
      <c r="C35" s="3" t="s">
        <v>21</v>
      </c>
      <c r="D35" s="3" t="s">
        <v>25</v>
      </c>
      <c r="E35" s="3">
        <v>6.27067</v>
      </c>
      <c r="F35" s="3">
        <v>59.36</v>
      </c>
      <c r="G35" s="3">
        <v>2.0099999999999998</v>
      </c>
      <c r="H35">
        <f t="shared" si="0"/>
        <v>6.27067</v>
      </c>
      <c r="I35" s="4">
        <f t="shared" si="1"/>
        <v>372.22697119999998</v>
      </c>
      <c r="J35" s="4">
        <f t="shared" si="2"/>
        <v>-374.23697119999997</v>
      </c>
      <c r="K35" s="5">
        <f>IF(OR(B35="",C35=""),"",SUMIFS($H$4:H34,$B$4:B34,B35,$C$4:C34,C35))</f>
        <v>699.99999999999989</v>
      </c>
      <c r="L35" s="4">
        <f>IF(OR(B35="",C35=""),"",IFERROR(LOOKUP(2,1/(($B$4:B34=B35)*($C$4:C34=C35)),$O$4:O34),0))</f>
        <v>41159.70336437627</v>
      </c>
      <c r="M35" s="4">
        <f t="shared" si="3"/>
        <v>58.799576234823249</v>
      </c>
      <c r="N35" s="4">
        <f t="shared" si="4"/>
        <v>0</v>
      </c>
      <c r="O35" s="4">
        <f t="shared" si="5"/>
        <v>41533.94033557627</v>
      </c>
      <c r="P35" s="5">
        <f t="shared" si="6"/>
        <v>706.27066999999988</v>
      </c>
      <c r="Q35" s="4">
        <f t="shared" si="7"/>
        <v>58.807397928015725</v>
      </c>
      <c r="R35" s="3" t="s">
        <v>84</v>
      </c>
      <c r="S35" t="str">
        <f t="shared" si="8"/>
        <v/>
      </c>
    </row>
    <row r="36" spans="1:19" x14ac:dyDescent="0.4">
      <c r="A36" s="7">
        <v>46149</v>
      </c>
      <c r="B36" s="3" t="s">
        <v>14</v>
      </c>
      <c r="C36" s="3" t="s">
        <v>21</v>
      </c>
      <c r="D36" s="3" t="s">
        <v>25</v>
      </c>
      <c r="E36" s="3">
        <v>37</v>
      </c>
      <c r="F36" s="3">
        <v>59.36</v>
      </c>
      <c r="G36" s="3">
        <v>2.13</v>
      </c>
      <c r="H36">
        <f t="shared" si="0"/>
        <v>37</v>
      </c>
      <c r="I36" s="4">
        <f t="shared" si="1"/>
        <v>2196.3200000000002</v>
      </c>
      <c r="J36" s="4">
        <f t="shared" si="2"/>
        <v>-2198.4500000000003</v>
      </c>
      <c r="K36" s="5">
        <f>IF(OR(B36="",C36=""),"",SUMIFS($H$4:H35,$B$4:B35,B36,$C$4:C35,C36))</f>
        <v>706.27066999999988</v>
      </c>
      <c r="L36" s="4">
        <f>IF(OR(B36="",C36=""),"",IFERROR(LOOKUP(2,1/(($B$4:B35=B36)*($C$4:C35=C36)),$O$4:O35),0))</f>
        <v>41533.94033557627</v>
      </c>
      <c r="M36" s="4">
        <f t="shared" ref="M36" si="19">IF(K36=0,0,L36/K36)</f>
        <v>58.807397928015725</v>
      </c>
      <c r="N36" s="4">
        <f t="shared" ref="N36" si="20">IF(H36&lt;0,ABS(H36)*(F36-M36)-G36,0)</f>
        <v>0</v>
      </c>
      <c r="O36" s="4">
        <f t="shared" ref="O36" si="21">IF(H36="","",IF(H36&gt;0,L36+I36+G36,MAX(0,L36-ABS(H36)*M36)))</f>
        <v>43732.390335576267</v>
      </c>
      <c r="P36" s="5">
        <f t="shared" ref="P36" si="22">IF(H36="","",K36+H36)</f>
        <v>743.27066999999988</v>
      </c>
      <c r="Q36" s="4">
        <f t="shared" ref="Q36" si="23">IF(P36=0,0,O36/P36)</f>
        <v>58.837772161218567</v>
      </c>
      <c r="R36" s="3" t="s">
        <v>85</v>
      </c>
    </row>
    <row r="37" spans="1:19" x14ac:dyDescent="0.4">
      <c r="A37" s="7">
        <v>46161</v>
      </c>
      <c r="B37" s="3" t="s">
        <v>18</v>
      </c>
      <c r="C37" s="3" t="s">
        <v>22</v>
      </c>
      <c r="D37" s="3" t="s">
        <v>26</v>
      </c>
      <c r="E37" s="3">
        <v>26</v>
      </c>
      <c r="F37" s="3">
        <v>478.53</v>
      </c>
      <c r="G37" s="3">
        <v>2.35</v>
      </c>
      <c r="H37">
        <f t="shared" si="0"/>
        <v>-26</v>
      </c>
      <c r="I37" s="4">
        <f t="shared" si="1"/>
        <v>12441.779999999999</v>
      </c>
      <c r="J37" s="4">
        <f t="shared" si="2"/>
        <v>12439.429999999998</v>
      </c>
      <c r="K37" s="5">
        <f>IF(OR(B37="",C37=""),"",SUMIFS($H$4:H36,$B$4:B36,B37,$C$4:C36,C37))</f>
        <v>26</v>
      </c>
      <c r="L37" s="4">
        <f>IF(OR(B37="",C37=""),"",IFERROR(LOOKUP(2,1/(($B$4:B36=B37)*($C$4:C36=C37)),$O$4:O36),0))</f>
        <v>9720.630000000001</v>
      </c>
      <c r="M37" s="4">
        <f t="shared" ref="M37:M100" si="24">IF(K37=0,0,L37/K37)</f>
        <v>373.87038461538464</v>
      </c>
      <c r="N37" s="4">
        <f t="shared" ref="N37:N100" si="25">IF(H37&lt;0,ABS(H37)*(F37-M37)-G37,0)</f>
        <v>2718.7999999999988</v>
      </c>
      <c r="O37" s="4">
        <f t="shared" ref="O37:O100" si="26">IF(H37="","",IF(H37&gt;0,L37+I37+G37,MAX(0,L37-ABS(H37)*M37)))</f>
        <v>0</v>
      </c>
      <c r="P37" s="5">
        <f t="shared" ref="P37:P100" si="27">IF(H37="","",K37+H37)</f>
        <v>0</v>
      </c>
      <c r="Q37" s="4">
        <f t="shared" ref="Q37:Q100" si="28">IF(P37=0,0,O37/P37)</f>
        <v>0</v>
      </c>
      <c r="R37" s="3" t="s">
        <v>81</v>
      </c>
      <c r="S37" t="str">
        <f t="shared" si="8"/>
        <v/>
      </c>
    </row>
    <row r="38" spans="1:19" x14ac:dyDescent="0.4">
      <c r="A38" s="7">
        <v>46162</v>
      </c>
      <c r="B38" s="3" t="s">
        <v>18</v>
      </c>
      <c r="C38" s="3" t="s">
        <v>22</v>
      </c>
      <c r="D38" s="3" t="s">
        <v>25</v>
      </c>
      <c r="E38" s="3">
        <v>26</v>
      </c>
      <c r="F38" s="3">
        <v>515.88</v>
      </c>
      <c r="G38" s="3">
        <v>2.09</v>
      </c>
      <c r="H38">
        <f t="shared" si="0"/>
        <v>26</v>
      </c>
      <c r="I38" s="4">
        <f t="shared" si="1"/>
        <v>13412.88</v>
      </c>
      <c r="J38" s="4">
        <f t="shared" si="2"/>
        <v>-13414.97</v>
      </c>
      <c r="K38" s="5">
        <f>IF(OR(B38="",C38=""),"",SUMIFS($H$4:H37,$B$4:B37,B38,$C$4:C37,C38))</f>
        <v>0</v>
      </c>
      <c r="L38" s="4">
        <f>IF(OR(B38="",C38=""),"",IFERROR(LOOKUP(2,1/(($B$4:B37=B38)*($C$4:C37=C38)),$O$4:O37),0))</f>
        <v>0</v>
      </c>
      <c r="M38" s="4">
        <f t="shared" si="24"/>
        <v>0</v>
      </c>
      <c r="N38" s="4">
        <f t="shared" si="25"/>
        <v>0</v>
      </c>
      <c r="O38" s="4">
        <f t="shared" si="26"/>
        <v>13414.97</v>
      </c>
      <c r="P38" s="5">
        <f t="shared" si="27"/>
        <v>26</v>
      </c>
      <c r="Q38" s="4">
        <f t="shared" si="28"/>
        <v>515.96038461538456</v>
      </c>
      <c r="R38" s="3" t="s">
        <v>82</v>
      </c>
      <c r="S38" t="str">
        <f t="shared" si="8"/>
        <v/>
      </c>
    </row>
    <row r="39" spans="1:19" x14ac:dyDescent="0.4">
      <c r="A39" s="7">
        <v>46179</v>
      </c>
      <c r="B39" s="3" t="s">
        <v>14</v>
      </c>
      <c r="C39" s="3" t="s">
        <v>21</v>
      </c>
      <c r="D39" s="3" t="s">
        <v>25</v>
      </c>
      <c r="E39" s="3">
        <v>6.3057400000000001</v>
      </c>
      <c r="F39" s="3">
        <v>59.55</v>
      </c>
      <c r="G39" s="3">
        <v>2.0099999999999998</v>
      </c>
      <c r="H39">
        <f t="shared" ref="H39:H70" si="29">IF(OR(D39="",E39=""),"",IF(D39="BUY",E39,-E39))</f>
        <v>6.3057400000000001</v>
      </c>
      <c r="I39" s="4">
        <f t="shared" ref="I39:I70" si="30">IF(H39="","",ABS(H39)*F39)</f>
        <v>375.50681700000001</v>
      </c>
      <c r="J39" s="4">
        <f t="shared" ref="J39:J70" si="31">IF(H39="","",-H39*F39-G39)</f>
        <v>-377.516817</v>
      </c>
      <c r="K39" s="5">
        <f>IF(OR(B39="",C39=""),"",SUMIFS($H$4:H38,$B$4:B38,B39,$C$4:C38,C39))</f>
        <v>743.27066999999988</v>
      </c>
      <c r="L39" s="4">
        <f>IF(OR(B39="",C39=""),"",IFERROR(LOOKUP(2,1/(($B$4:B38=B39)*($C$4:C38=C39)),$O$4:O38),0))</f>
        <v>43732.390335576267</v>
      </c>
      <c r="M39" s="4">
        <f t="shared" si="24"/>
        <v>58.837772161218567</v>
      </c>
      <c r="N39" s="4">
        <f t="shared" si="25"/>
        <v>0</v>
      </c>
      <c r="O39" s="4">
        <f t="shared" si="26"/>
        <v>44109.90715257627</v>
      </c>
      <c r="P39" s="5">
        <f t="shared" si="27"/>
        <v>749.5764099999999</v>
      </c>
      <c r="Q39" s="4">
        <f t="shared" si="28"/>
        <v>58.846445224411845</v>
      </c>
      <c r="R39" s="3" t="s">
        <v>84</v>
      </c>
      <c r="S39" t="str">
        <f t="shared" ref="S39:S70" si="32">IF(H39="","",IF(P39&lt;0,"ERROR: Over-sold",IF(AND(H39&lt;0,K39=0),"ERROR: Sell w/o position","")))</f>
        <v/>
      </c>
    </row>
    <row r="40" spans="1:19" x14ac:dyDescent="0.4">
      <c r="A40" s="7">
        <v>46181</v>
      </c>
      <c r="B40" s="3" t="s">
        <v>17</v>
      </c>
      <c r="C40" s="3" t="s">
        <v>22</v>
      </c>
      <c r="D40" s="3" t="s">
        <v>26</v>
      </c>
      <c r="E40" s="3">
        <v>16</v>
      </c>
      <c r="F40" s="3">
        <v>716.23</v>
      </c>
      <c r="G40" s="3">
        <v>2.29</v>
      </c>
      <c r="H40">
        <f t="shared" si="29"/>
        <v>-16</v>
      </c>
      <c r="I40" s="4">
        <f t="shared" si="30"/>
        <v>11459.68</v>
      </c>
      <c r="J40" s="4">
        <f t="shared" si="31"/>
        <v>11457.39</v>
      </c>
      <c r="K40" s="5">
        <f>IF(OR(B40="",C40=""),"",SUMIFS($H$4:H39,$B$4:B39,B40,$C$4:C39,C40))</f>
        <v>16</v>
      </c>
      <c r="L40" s="4">
        <f>IF(OR(B40="",C40=""),"",IFERROR(LOOKUP(2,1/(($B$4:B39=B40)*($C$4:C39=C40)),$O$4:O39),0))</f>
        <v>10070.898461538462</v>
      </c>
      <c r="M40" s="4">
        <f t="shared" si="24"/>
        <v>629.43115384615385</v>
      </c>
      <c r="N40" s="4">
        <f t="shared" si="25"/>
        <v>1386.4915384615388</v>
      </c>
      <c r="O40" s="4">
        <f t="shared" si="26"/>
        <v>0</v>
      </c>
      <c r="P40" s="5">
        <f t="shared" si="27"/>
        <v>0</v>
      </c>
      <c r="Q40" s="4">
        <f t="shared" si="28"/>
        <v>0</v>
      </c>
      <c r="R40" s="3" t="s">
        <v>88</v>
      </c>
      <c r="S40" t="str">
        <f t="shared" si="32"/>
        <v/>
      </c>
    </row>
    <row r="41" spans="1:19" x14ac:dyDescent="0.4">
      <c r="A41" s="7">
        <v>46181</v>
      </c>
      <c r="B41" s="3" t="s">
        <v>18</v>
      </c>
      <c r="C41" s="3" t="s">
        <v>22</v>
      </c>
      <c r="D41" s="3" t="s">
        <v>26</v>
      </c>
      <c r="E41" s="3">
        <v>26</v>
      </c>
      <c r="F41" s="3">
        <v>566.49</v>
      </c>
      <c r="G41" s="3">
        <v>2.39</v>
      </c>
      <c r="H41">
        <f t="shared" si="29"/>
        <v>-26</v>
      </c>
      <c r="I41" s="4">
        <f t="shared" si="30"/>
        <v>14728.74</v>
      </c>
      <c r="J41" s="4">
        <f t="shared" si="31"/>
        <v>14726.35</v>
      </c>
      <c r="K41" s="5">
        <f>IF(OR(B41="",C41=""),"",SUMIFS($H$4:H40,$B$4:B40,B41,$C$4:C40,C41))</f>
        <v>26</v>
      </c>
      <c r="L41" s="4">
        <f>IF(OR(B41="",C41=""),"",IFERROR(LOOKUP(2,1/(($B$4:B40=B41)*($C$4:C40=C41)),$O$4:O40),0))</f>
        <v>13414.97</v>
      </c>
      <c r="M41" s="4">
        <f t="shared" si="24"/>
        <v>515.96038461538456</v>
      </c>
      <c r="N41" s="4">
        <f t="shared" si="25"/>
        <v>1311.3800000000017</v>
      </c>
      <c r="O41" s="4">
        <f t="shared" si="26"/>
        <v>1.8189894035458565E-12</v>
      </c>
      <c r="P41" s="5">
        <f t="shared" si="27"/>
        <v>0</v>
      </c>
      <c r="Q41" s="4">
        <f t="shared" si="28"/>
        <v>0</v>
      </c>
      <c r="R41" s="3" t="s">
        <v>88</v>
      </c>
      <c r="S41" t="str">
        <f t="shared" si="32"/>
        <v/>
      </c>
    </row>
    <row r="42" spans="1:19" x14ac:dyDescent="0.4">
      <c r="A42" s="7">
        <v>46181</v>
      </c>
      <c r="B42" s="3" t="s">
        <v>16</v>
      </c>
      <c r="C42" s="3" t="s">
        <v>22</v>
      </c>
      <c r="D42" s="3" t="s">
        <v>26</v>
      </c>
      <c r="E42" s="3">
        <v>14</v>
      </c>
      <c r="F42" s="3">
        <v>741.99</v>
      </c>
      <c r="G42" s="3">
        <v>2.2599999999999998</v>
      </c>
      <c r="H42">
        <f t="shared" si="29"/>
        <v>-14</v>
      </c>
      <c r="I42" s="4">
        <f t="shared" si="30"/>
        <v>10387.86</v>
      </c>
      <c r="J42" s="4">
        <f t="shared" si="31"/>
        <v>10385.6</v>
      </c>
      <c r="K42" s="5">
        <f>IF(OR(B42="",C42=""),"",SUMIFS($H$4:H41,$B$4:B41,B42,$C$4:C41,C42))</f>
        <v>14</v>
      </c>
      <c r="L42" s="4">
        <f>IF(OR(B42="",C42=""),"",IFERROR(LOOKUP(2,1/(($B$4:B41=B42)*($C$4:C41=C42)),$O$4:O41),0))</f>
        <v>9734.42</v>
      </c>
      <c r="M42" s="4">
        <f t="shared" si="24"/>
        <v>695.31571428571431</v>
      </c>
      <c r="N42" s="4">
        <f t="shared" si="25"/>
        <v>651.17999999999984</v>
      </c>
      <c r="O42" s="4">
        <f t="shared" si="26"/>
        <v>0</v>
      </c>
      <c r="P42" s="5">
        <f t="shared" si="27"/>
        <v>0</v>
      </c>
      <c r="Q42" s="4">
        <f t="shared" si="28"/>
        <v>0</v>
      </c>
      <c r="R42" s="3" t="s">
        <v>88</v>
      </c>
      <c r="S42" t="str">
        <f t="shared" si="32"/>
        <v/>
      </c>
    </row>
    <row r="43" spans="1:19" x14ac:dyDescent="0.4">
      <c r="A43" s="7">
        <v>46190</v>
      </c>
      <c r="B43" s="3" t="s">
        <v>14</v>
      </c>
      <c r="C43" s="3" t="s">
        <v>21</v>
      </c>
      <c r="D43" s="3" t="s">
        <v>25</v>
      </c>
      <c r="E43" s="3">
        <v>200</v>
      </c>
      <c r="F43" s="3">
        <v>61.05</v>
      </c>
      <c r="G43" s="3">
        <v>2.77</v>
      </c>
      <c r="H43">
        <f t="shared" si="29"/>
        <v>200</v>
      </c>
      <c r="I43" s="4">
        <f t="shared" si="30"/>
        <v>12210</v>
      </c>
      <c r="J43" s="4">
        <f t="shared" si="31"/>
        <v>-12212.77</v>
      </c>
      <c r="K43" s="5">
        <f>IF(OR(B43="",C43=""),"",SUMIFS($H$4:H42,$B$4:B42,B43,$C$4:C42,C43))</f>
        <v>749.5764099999999</v>
      </c>
      <c r="L43" s="4">
        <f>IF(OR(B43="",C43=""),"",IFERROR(LOOKUP(2,1/(($B$4:B42=B43)*($C$4:C42=C43)),$O$4:O42),0))</f>
        <v>44109.90715257627</v>
      </c>
      <c r="M43" s="4">
        <f t="shared" si="24"/>
        <v>58.846445224411845</v>
      </c>
      <c r="N43" s="4">
        <f t="shared" si="25"/>
        <v>0</v>
      </c>
      <c r="O43" s="4">
        <f t="shared" si="26"/>
        <v>56322.677152576267</v>
      </c>
      <c r="P43" s="5">
        <f t="shared" si="27"/>
        <v>949.5764099999999</v>
      </c>
      <c r="Q43" s="4">
        <f t="shared" si="28"/>
        <v>59.313475523866764</v>
      </c>
      <c r="R43" s="3" t="s">
        <v>89</v>
      </c>
      <c r="S43" t="str">
        <f t="shared" si="32"/>
        <v/>
      </c>
    </row>
    <row r="44" spans="1:19" x14ac:dyDescent="0.4">
      <c r="A44" s="7">
        <v>46190</v>
      </c>
      <c r="B44" s="3" t="s">
        <v>15</v>
      </c>
      <c r="C44" s="3" t="s">
        <v>21</v>
      </c>
      <c r="D44" s="3" t="s">
        <v>25</v>
      </c>
      <c r="E44" s="3">
        <v>43</v>
      </c>
      <c r="F44" s="3">
        <v>218.24</v>
      </c>
      <c r="G44" s="3">
        <v>2.16</v>
      </c>
      <c r="H44">
        <f t="shared" si="29"/>
        <v>43</v>
      </c>
      <c r="I44" s="4">
        <f t="shared" si="30"/>
        <v>9384.32</v>
      </c>
      <c r="J44" s="4">
        <f t="shared" si="31"/>
        <v>-9386.48</v>
      </c>
      <c r="K44" s="5">
        <f>IF(OR(B44="",C44=""),"",SUMIFS($H$4:H43,$B$4:B43,B44,$C$4:C43,C44))</f>
        <v>128.24931000000001</v>
      </c>
      <c r="L44" s="4">
        <f>IF(OR(B44="",C44=""),"",IFERROR(LOOKUP(2,1/(($B$4:B43=B44)*($C$4:C43=C44)),$O$4:O43),0))</f>
        <v>26053.258633099998</v>
      </c>
      <c r="M44" s="4">
        <f t="shared" si="24"/>
        <v>203.14540977335471</v>
      </c>
      <c r="N44" s="4">
        <f t="shared" si="25"/>
        <v>0</v>
      </c>
      <c r="O44" s="4">
        <f t="shared" si="26"/>
        <v>35439.738633100002</v>
      </c>
      <c r="P44" s="5">
        <f t="shared" si="27"/>
        <v>171.24931000000001</v>
      </c>
      <c r="Q44" s="4">
        <f t="shared" si="28"/>
        <v>206.94821271455049</v>
      </c>
      <c r="R44" s="3" t="s">
        <v>89</v>
      </c>
      <c r="S44" t="str">
        <f t="shared" si="32"/>
        <v/>
      </c>
    </row>
    <row r="45" spans="1:19" x14ac:dyDescent="0.4">
      <c r="A45" s="7">
        <v>46195</v>
      </c>
      <c r="B45" s="3" t="s">
        <v>14</v>
      </c>
      <c r="C45" s="3" t="s">
        <v>21</v>
      </c>
      <c r="D45" s="3" t="s">
        <v>26</v>
      </c>
      <c r="E45" s="3">
        <v>139.57641000000001</v>
      </c>
      <c r="F45" s="3">
        <v>61.5</v>
      </c>
      <c r="G45" s="3">
        <v>2.72</v>
      </c>
      <c r="H45">
        <f t="shared" si="29"/>
        <v>-139.57641000000001</v>
      </c>
      <c r="I45" s="4">
        <f t="shared" si="30"/>
        <v>8583.9492150000005</v>
      </c>
      <c r="J45" s="4">
        <f t="shared" si="31"/>
        <v>8581.2292150000012</v>
      </c>
      <c r="K45" s="5">
        <f>IF(OR(B45="",C45=""),"",SUMIFS($H$4:H44,$B$4:B44,B45,$C$4:C44,C45))</f>
        <v>949.5764099999999</v>
      </c>
      <c r="L45" s="4">
        <f>IF(OR(B45="",C45=""),"",IFERROR(LOOKUP(2,1/(($B$4:B44=B45)*($C$4:C44=C45)),$O$4:O44),0))</f>
        <v>56322.677152576267</v>
      </c>
      <c r="M45" s="4">
        <f t="shared" si="24"/>
        <v>59.313475523866764</v>
      </c>
      <c r="N45" s="4">
        <f t="shared" si="25"/>
        <v>302.46723675580779</v>
      </c>
      <c r="O45" s="4">
        <f t="shared" si="26"/>
        <v>48043.915174332076</v>
      </c>
      <c r="P45" s="5">
        <f t="shared" si="27"/>
        <v>809.99999999999989</v>
      </c>
      <c r="Q45" s="4">
        <f t="shared" si="28"/>
        <v>59.313475523866771</v>
      </c>
      <c r="R45" s="3" t="s">
        <v>89</v>
      </c>
      <c r="S45" t="str">
        <f t="shared" si="32"/>
        <v/>
      </c>
    </row>
    <row r="46" spans="1:19" x14ac:dyDescent="0.4">
      <c r="A46" s="7">
        <v>46195</v>
      </c>
      <c r="B46" s="3" t="s">
        <v>18</v>
      </c>
      <c r="C46" s="3" t="s">
        <v>22</v>
      </c>
      <c r="D46" s="3" t="s">
        <v>25</v>
      </c>
      <c r="E46" s="3">
        <v>20</v>
      </c>
      <c r="F46" s="3">
        <v>648</v>
      </c>
      <c r="G46" s="3">
        <v>2.0699999999999998</v>
      </c>
      <c r="H46">
        <f t="shared" si="29"/>
        <v>20</v>
      </c>
      <c r="I46" s="4">
        <f t="shared" si="30"/>
        <v>12960</v>
      </c>
      <c r="J46" s="4">
        <f t="shared" si="31"/>
        <v>-12962.07</v>
      </c>
      <c r="K46" s="5">
        <f>IF(OR(B46="",C46=""),"",SUMIFS($H$4:H45,$B$4:B45,B46,$C$4:C45,C46))</f>
        <v>0</v>
      </c>
      <c r="L46" s="4">
        <f>IF(OR(B46="",C46=""),"",IFERROR(LOOKUP(2,1/(($B$4:B45=B46)*($C$4:C45=C46)),$O$4:O45),0))</f>
        <v>1.8189894035458565E-12</v>
      </c>
      <c r="M46" s="4">
        <f t="shared" si="24"/>
        <v>0</v>
      </c>
      <c r="N46" s="4">
        <f t="shared" si="25"/>
        <v>0</v>
      </c>
      <c r="O46" s="4">
        <f t="shared" si="26"/>
        <v>12962.070000000002</v>
      </c>
      <c r="P46" s="5">
        <f t="shared" si="27"/>
        <v>20</v>
      </c>
      <c r="Q46" s="4">
        <f t="shared" si="28"/>
        <v>648.10350000000005</v>
      </c>
      <c r="R46" s="3" t="s">
        <v>90</v>
      </c>
      <c r="S46" t="str">
        <f t="shared" si="32"/>
        <v/>
      </c>
    </row>
    <row r="47" spans="1:19" x14ac:dyDescent="0.4">
      <c r="A47" s="7">
        <v>46196</v>
      </c>
      <c r="B47" s="3" t="s">
        <v>15</v>
      </c>
      <c r="C47" s="3" t="s">
        <v>21</v>
      </c>
      <c r="D47" s="3" t="s">
        <v>25</v>
      </c>
      <c r="E47" s="3">
        <v>0.20466999999999999</v>
      </c>
      <c r="F47" s="3">
        <v>215.37</v>
      </c>
      <c r="G47" s="3">
        <v>0.44</v>
      </c>
      <c r="H47">
        <f t="shared" si="29"/>
        <v>0.20466999999999999</v>
      </c>
      <c r="I47" s="4">
        <f t="shared" si="30"/>
        <v>44.079777899999996</v>
      </c>
      <c r="J47" s="4">
        <f t="shared" si="31"/>
        <v>-44.519777899999994</v>
      </c>
      <c r="K47" s="5">
        <f>IF(OR(B47="",C47=""),"",SUMIFS($H$4:H46,$B$4:B46,B47,$C$4:C46,C47))</f>
        <v>171.24931000000001</v>
      </c>
      <c r="L47" s="4">
        <f>IF(OR(B47="",C47=""),"",IFERROR(LOOKUP(2,1/(($B$4:B46=B47)*($C$4:C46=C47)),$O$4:O46),0))</f>
        <v>35439.738633100002</v>
      </c>
      <c r="M47" s="4">
        <f t="shared" si="24"/>
        <v>206.94821271455049</v>
      </c>
      <c r="N47" s="4">
        <f t="shared" si="25"/>
        <v>0</v>
      </c>
      <c r="O47" s="4">
        <f t="shared" si="26"/>
        <v>35484.258411000003</v>
      </c>
      <c r="P47" s="5">
        <f t="shared" si="27"/>
        <v>171.45398</v>
      </c>
      <c r="Q47" s="4">
        <f t="shared" si="28"/>
        <v>206.96083235279812</v>
      </c>
      <c r="R47" s="3" t="s">
        <v>84</v>
      </c>
      <c r="S47" t="str">
        <f t="shared" si="32"/>
        <v/>
      </c>
    </row>
    <row r="48" spans="1:19" x14ac:dyDescent="0.4">
      <c r="A48" s="7">
        <v>46198</v>
      </c>
      <c r="B48" s="3" t="s">
        <v>14</v>
      </c>
      <c r="C48" s="3" t="s">
        <v>21</v>
      </c>
      <c r="D48" s="3" t="s">
        <v>25</v>
      </c>
      <c r="E48" s="3">
        <v>21</v>
      </c>
      <c r="F48" s="3">
        <v>60.63</v>
      </c>
      <c r="G48" s="3">
        <v>2.0699999999999998</v>
      </c>
      <c r="H48">
        <f t="shared" si="29"/>
        <v>21</v>
      </c>
      <c r="I48" s="4">
        <f t="shared" si="30"/>
        <v>1273.23</v>
      </c>
      <c r="J48" s="4">
        <f t="shared" si="31"/>
        <v>-1275.3</v>
      </c>
      <c r="K48" s="5">
        <f>IF(OR(B48="",C48=""),"",SUMIFS($H$4:H47,$B$4:B47,B48,$C$4:C47,C48))</f>
        <v>809.99999999999989</v>
      </c>
      <c r="L48" s="4">
        <f>IF(OR(B48="",C48=""),"",IFERROR(LOOKUP(2,1/(($B$4:B47=B48)*($C$4:C47=C48)),$O$4:O47),0))</f>
        <v>48043.915174332076</v>
      </c>
      <c r="M48" s="4">
        <f t="shared" si="24"/>
        <v>59.313475523866771</v>
      </c>
      <c r="N48" s="4">
        <f t="shared" si="25"/>
        <v>0</v>
      </c>
      <c r="O48" s="4">
        <f t="shared" si="26"/>
        <v>49319.215174332079</v>
      </c>
      <c r="P48" s="5">
        <f t="shared" si="27"/>
        <v>830.99999999999989</v>
      </c>
      <c r="Q48" s="4">
        <f t="shared" si="28"/>
        <v>59.349236070195047</v>
      </c>
      <c r="R48" s="3" t="s">
        <v>91</v>
      </c>
      <c r="S48" t="str">
        <f t="shared" si="32"/>
        <v/>
      </c>
    </row>
    <row r="49" spans="1:19" x14ac:dyDescent="0.4">
      <c r="A49" s="3"/>
      <c r="B49" s="3"/>
      <c r="C49" s="3"/>
      <c r="D49" s="3"/>
      <c r="E49" s="3"/>
      <c r="F49" s="3"/>
      <c r="G49" s="3"/>
      <c r="H49" t="str">
        <f t="shared" si="29"/>
        <v/>
      </c>
      <c r="I49" s="4" t="str">
        <f t="shared" si="30"/>
        <v/>
      </c>
      <c r="J49" s="4" t="str">
        <f t="shared" si="31"/>
        <v/>
      </c>
      <c r="K49" s="5" t="str">
        <f>IF(OR(B49="",C49=""),"",SUMIFS($H$4:H48,$B$4:B48,B49,$C$4:C48,C49))</f>
        <v/>
      </c>
      <c r="L49" s="4" t="str">
        <f>IF(OR(B49="",C49=""),"",IFERROR(LOOKUP(2,1/(($B$4:B48=B49)*($C$4:C48=C49)),$O$4:O48),0))</f>
        <v/>
      </c>
      <c r="M49" s="4" t="e">
        <f t="shared" si="24"/>
        <v>#VALUE!</v>
      </c>
      <c r="N49" s="4">
        <f t="shared" si="25"/>
        <v>0</v>
      </c>
      <c r="O49" s="4" t="str">
        <f t="shared" si="26"/>
        <v/>
      </c>
      <c r="P49" s="5" t="str">
        <f t="shared" si="27"/>
        <v/>
      </c>
      <c r="Q49" s="4" t="e">
        <f t="shared" si="28"/>
        <v>#VALUE!</v>
      </c>
      <c r="R49" s="3"/>
      <c r="S49" t="str">
        <f t="shared" si="32"/>
        <v/>
      </c>
    </row>
    <row r="50" spans="1:19" x14ac:dyDescent="0.4">
      <c r="A50" s="3"/>
      <c r="B50" s="3"/>
      <c r="C50" s="3"/>
      <c r="D50" s="3"/>
      <c r="E50" s="3"/>
      <c r="F50" s="3"/>
      <c r="G50" s="3"/>
      <c r="H50" t="str">
        <f t="shared" si="29"/>
        <v/>
      </c>
      <c r="I50" s="4" t="str">
        <f t="shared" si="30"/>
        <v/>
      </c>
      <c r="J50" s="4" t="str">
        <f t="shared" si="31"/>
        <v/>
      </c>
      <c r="K50" s="5" t="str">
        <f>IF(OR(B50="",C50=""),"",SUMIFS($H$4:H49,$B$4:B49,B50,$C$4:C49,C50))</f>
        <v/>
      </c>
      <c r="L50" s="4" t="str">
        <f>IF(OR(B50="",C50=""),"",IFERROR(LOOKUP(2,1/(($B$4:B49=B50)*($C$4:C49=C50)),$O$4:O49),0))</f>
        <v/>
      </c>
      <c r="M50" s="4" t="e">
        <f t="shared" si="24"/>
        <v>#VALUE!</v>
      </c>
      <c r="N50" s="4">
        <f t="shared" si="25"/>
        <v>0</v>
      </c>
      <c r="O50" s="4" t="str">
        <f t="shared" si="26"/>
        <v/>
      </c>
      <c r="P50" s="5" t="str">
        <f t="shared" si="27"/>
        <v/>
      </c>
      <c r="Q50" s="4" t="e">
        <f t="shared" si="28"/>
        <v>#VALUE!</v>
      </c>
      <c r="R50" s="3"/>
      <c r="S50" t="str">
        <f t="shared" si="32"/>
        <v/>
      </c>
    </row>
    <row r="51" spans="1:19" x14ac:dyDescent="0.4">
      <c r="A51" s="3"/>
      <c r="B51" s="3"/>
      <c r="C51" s="3"/>
      <c r="D51" s="3"/>
      <c r="E51" s="3"/>
      <c r="F51" s="3"/>
      <c r="G51" s="3"/>
      <c r="H51" t="str">
        <f t="shared" si="29"/>
        <v/>
      </c>
      <c r="I51" s="4" t="str">
        <f t="shared" si="30"/>
        <v/>
      </c>
      <c r="J51" s="4" t="str">
        <f t="shared" si="31"/>
        <v/>
      </c>
      <c r="K51" s="5" t="str">
        <f>IF(OR(B51="",C51=""),"",SUMIFS($H$4:H50,$B$4:B50,B51,$C$4:C50,C51))</f>
        <v/>
      </c>
      <c r="L51" s="4" t="str">
        <f>IF(OR(B51="",C51=""),"",IFERROR(LOOKUP(2,1/(($B$4:B50=B51)*($C$4:C50=C51)),$O$4:O50),0))</f>
        <v/>
      </c>
      <c r="M51" s="4" t="e">
        <f t="shared" si="24"/>
        <v>#VALUE!</v>
      </c>
      <c r="N51" s="4">
        <f t="shared" si="25"/>
        <v>0</v>
      </c>
      <c r="O51" s="4" t="str">
        <f t="shared" si="26"/>
        <v/>
      </c>
      <c r="P51" s="5" t="str">
        <f t="shared" si="27"/>
        <v/>
      </c>
      <c r="Q51" s="4" t="e">
        <f t="shared" si="28"/>
        <v>#VALUE!</v>
      </c>
      <c r="R51" s="3"/>
      <c r="S51" t="str">
        <f t="shared" si="32"/>
        <v/>
      </c>
    </row>
    <row r="52" spans="1:19" x14ac:dyDescent="0.4">
      <c r="A52" s="3"/>
      <c r="B52" s="3"/>
      <c r="C52" s="3"/>
      <c r="D52" s="3"/>
      <c r="E52" s="3"/>
      <c r="F52" s="3"/>
      <c r="G52" s="3"/>
      <c r="H52" t="str">
        <f t="shared" si="29"/>
        <v/>
      </c>
      <c r="I52" s="4" t="str">
        <f t="shared" si="30"/>
        <v/>
      </c>
      <c r="J52" s="4" t="str">
        <f t="shared" si="31"/>
        <v/>
      </c>
      <c r="K52" s="5" t="str">
        <f>IF(OR(B52="",C52=""),"",SUMIFS($H$4:H51,$B$4:B51,B52,$C$4:C51,C52))</f>
        <v/>
      </c>
      <c r="L52" s="4" t="str">
        <f>IF(OR(B52="",C52=""),"",IFERROR(LOOKUP(2,1/(($B$4:B51=B52)*($C$4:C51=C52)),$O$4:O51),0))</f>
        <v/>
      </c>
      <c r="M52" s="4" t="e">
        <f t="shared" si="24"/>
        <v>#VALUE!</v>
      </c>
      <c r="N52" s="4">
        <f t="shared" si="25"/>
        <v>0</v>
      </c>
      <c r="O52" s="4" t="str">
        <f t="shared" si="26"/>
        <v/>
      </c>
      <c r="P52" s="5" t="str">
        <f t="shared" si="27"/>
        <v/>
      </c>
      <c r="Q52" s="4" t="e">
        <f t="shared" si="28"/>
        <v>#VALUE!</v>
      </c>
      <c r="R52" s="3"/>
      <c r="S52" t="str">
        <f t="shared" si="32"/>
        <v/>
      </c>
    </row>
    <row r="53" spans="1:19" x14ac:dyDescent="0.4">
      <c r="A53" s="3"/>
      <c r="B53" s="3"/>
      <c r="C53" s="3"/>
      <c r="D53" s="3"/>
      <c r="E53" s="3"/>
      <c r="F53" s="3"/>
      <c r="G53" s="3"/>
      <c r="H53" t="str">
        <f t="shared" si="29"/>
        <v/>
      </c>
      <c r="I53" s="4" t="str">
        <f t="shared" si="30"/>
        <v/>
      </c>
      <c r="J53" s="4" t="str">
        <f t="shared" si="31"/>
        <v/>
      </c>
      <c r="K53" s="5" t="str">
        <f>IF(OR(B53="",C53=""),"",SUMIFS($H$4:H52,$B$4:B52,B53,$C$4:C52,C53))</f>
        <v/>
      </c>
      <c r="L53" s="4" t="str">
        <f>IF(OR(B53="",C53=""),"",IFERROR(LOOKUP(2,1/(($B$4:B52=B53)*($C$4:C52=C53)),$O$4:O52),0))</f>
        <v/>
      </c>
      <c r="M53" s="4" t="e">
        <f t="shared" si="24"/>
        <v>#VALUE!</v>
      </c>
      <c r="N53" s="4">
        <f t="shared" si="25"/>
        <v>0</v>
      </c>
      <c r="O53" s="4" t="str">
        <f t="shared" si="26"/>
        <v/>
      </c>
      <c r="P53" s="5" t="str">
        <f t="shared" si="27"/>
        <v/>
      </c>
      <c r="Q53" s="4" t="e">
        <f t="shared" si="28"/>
        <v>#VALUE!</v>
      </c>
      <c r="R53" s="3"/>
      <c r="S53" t="str">
        <f t="shared" si="32"/>
        <v/>
      </c>
    </row>
    <row r="54" spans="1:19" x14ac:dyDescent="0.4">
      <c r="A54" s="3"/>
      <c r="B54" s="3"/>
      <c r="C54" s="3"/>
      <c r="D54" s="3"/>
      <c r="E54" s="3"/>
      <c r="F54" s="3"/>
      <c r="G54" s="3"/>
      <c r="H54" t="str">
        <f t="shared" si="29"/>
        <v/>
      </c>
      <c r="I54" s="4" t="str">
        <f t="shared" si="30"/>
        <v/>
      </c>
      <c r="J54" s="4" t="str">
        <f t="shared" si="31"/>
        <v/>
      </c>
      <c r="K54" s="5" t="str">
        <f>IF(OR(B54="",C54=""),"",SUMIFS($H$4:H53,$B$4:B53,B54,$C$4:C53,C54))</f>
        <v/>
      </c>
      <c r="L54" s="4" t="str">
        <f>IF(OR(B54="",C54=""),"",IFERROR(LOOKUP(2,1/(($B$4:B53=B54)*($C$4:C53=C54)),$O$4:O53),0))</f>
        <v/>
      </c>
      <c r="M54" s="4" t="e">
        <f t="shared" si="24"/>
        <v>#VALUE!</v>
      </c>
      <c r="N54" s="4">
        <f t="shared" si="25"/>
        <v>0</v>
      </c>
      <c r="O54" s="4" t="str">
        <f t="shared" si="26"/>
        <v/>
      </c>
      <c r="P54" s="5" t="str">
        <f t="shared" si="27"/>
        <v/>
      </c>
      <c r="Q54" s="4" t="e">
        <f t="shared" si="28"/>
        <v>#VALUE!</v>
      </c>
      <c r="R54" s="3"/>
      <c r="S54" t="str">
        <f t="shared" si="32"/>
        <v/>
      </c>
    </row>
    <row r="55" spans="1:19" x14ac:dyDescent="0.4">
      <c r="A55" s="3"/>
      <c r="B55" s="3"/>
      <c r="C55" s="3"/>
      <c r="D55" s="3"/>
      <c r="E55" s="3"/>
      <c r="F55" s="3"/>
      <c r="G55" s="3"/>
      <c r="H55" t="str">
        <f t="shared" si="29"/>
        <v/>
      </c>
      <c r="I55" s="4" t="str">
        <f t="shared" si="30"/>
        <v/>
      </c>
      <c r="J55" s="4" t="str">
        <f t="shared" si="31"/>
        <v/>
      </c>
      <c r="K55" s="5" t="str">
        <f>IF(OR(B55="",C55=""),"",SUMIFS($H$4:H54,$B$4:B54,B55,$C$4:C54,C55))</f>
        <v/>
      </c>
      <c r="L55" s="4" t="str">
        <f>IF(OR(B55="",C55=""),"",IFERROR(LOOKUP(2,1/(($B$4:B54=B55)*($C$4:C54=C55)),$O$4:O54),0))</f>
        <v/>
      </c>
      <c r="M55" s="4" t="e">
        <f t="shared" si="24"/>
        <v>#VALUE!</v>
      </c>
      <c r="N55" s="4">
        <f t="shared" si="25"/>
        <v>0</v>
      </c>
      <c r="O55" s="4" t="str">
        <f t="shared" si="26"/>
        <v/>
      </c>
      <c r="P55" s="5" t="str">
        <f t="shared" si="27"/>
        <v/>
      </c>
      <c r="Q55" s="4" t="e">
        <f t="shared" si="28"/>
        <v>#VALUE!</v>
      </c>
      <c r="R55" s="3"/>
      <c r="S55" t="str">
        <f t="shared" si="32"/>
        <v/>
      </c>
    </row>
    <row r="56" spans="1:19" x14ac:dyDescent="0.4">
      <c r="A56" s="3"/>
      <c r="B56" s="3"/>
      <c r="C56" s="3"/>
      <c r="D56" s="3"/>
      <c r="E56" s="3"/>
      <c r="F56" s="3"/>
      <c r="G56" s="3"/>
      <c r="H56" t="str">
        <f t="shared" si="29"/>
        <v/>
      </c>
      <c r="I56" s="4" t="str">
        <f t="shared" si="30"/>
        <v/>
      </c>
      <c r="J56" s="4" t="str">
        <f t="shared" si="31"/>
        <v/>
      </c>
      <c r="K56" s="5" t="str">
        <f>IF(OR(B56="",C56=""),"",SUMIFS($H$4:H55,$B$4:B55,B56,$C$4:C55,C56))</f>
        <v/>
      </c>
      <c r="L56" s="4" t="str">
        <f>IF(OR(B56="",C56=""),"",IFERROR(LOOKUP(2,1/(($B$4:B55=B56)*($C$4:C55=C56)),$O$4:O55),0))</f>
        <v/>
      </c>
      <c r="M56" s="4" t="e">
        <f t="shared" si="24"/>
        <v>#VALUE!</v>
      </c>
      <c r="N56" s="4">
        <f t="shared" si="25"/>
        <v>0</v>
      </c>
      <c r="O56" s="4" t="str">
        <f t="shared" si="26"/>
        <v/>
      </c>
      <c r="P56" s="5" t="str">
        <f t="shared" si="27"/>
        <v/>
      </c>
      <c r="Q56" s="4" t="e">
        <f t="shared" si="28"/>
        <v>#VALUE!</v>
      </c>
      <c r="R56" s="3"/>
      <c r="S56" t="str">
        <f t="shared" si="32"/>
        <v/>
      </c>
    </row>
    <row r="57" spans="1:19" x14ac:dyDescent="0.4">
      <c r="A57" s="3"/>
      <c r="B57" s="3"/>
      <c r="C57" s="3"/>
      <c r="D57" s="3"/>
      <c r="E57" s="3"/>
      <c r="F57" s="3"/>
      <c r="G57" s="3"/>
      <c r="H57" t="str">
        <f t="shared" si="29"/>
        <v/>
      </c>
      <c r="I57" s="4" t="str">
        <f t="shared" si="30"/>
        <v/>
      </c>
      <c r="J57" s="4" t="str">
        <f t="shared" si="31"/>
        <v/>
      </c>
      <c r="K57" s="5" t="str">
        <f>IF(OR(B57="",C57=""),"",SUMIFS($H$4:H56,$B$4:B56,B57,$C$4:C56,C57))</f>
        <v/>
      </c>
      <c r="L57" s="4" t="str">
        <f>IF(OR(B57="",C57=""),"",IFERROR(LOOKUP(2,1/(($B$4:B56=B57)*($C$4:C56=C57)),$O$4:O56),0))</f>
        <v/>
      </c>
      <c r="M57" s="4" t="e">
        <f t="shared" si="24"/>
        <v>#VALUE!</v>
      </c>
      <c r="N57" s="4">
        <f t="shared" si="25"/>
        <v>0</v>
      </c>
      <c r="O57" s="4" t="str">
        <f t="shared" si="26"/>
        <v/>
      </c>
      <c r="P57" s="5" t="str">
        <f t="shared" si="27"/>
        <v/>
      </c>
      <c r="Q57" s="4" t="e">
        <f t="shared" si="28"/>
        <v>#VALUE!</v>
      </c>
      <c r="R57" s="3"/>
      <c r="S57" t="str">
        <f t="shared" si="32"/>
        <v/>
      </c>
    </row>
    <row r="58" spans="1:19" x14ac:dyDescent="0.4">
      <c r="A58" s="3"/>
      <c r="B58" s="3"/>
      <c r="C58" s="3"/>
      <c r="D58" s="3"/>
      <c r="E58" s="3"/>
      <c r="F58" s="3"/>
      <c r="G58" s="3"/>
      <c r="H58" t="str">
        <f t="shared" si="29"/>
        <v/>
      </c>
      <c r="I58" s="4" t="str">
        <f t="shared" si="30"/>
        <v/>
      </c>
      <c r="J58" s="4" t="str">
        <f t="shared" si="31"/>
        <v/>
      </c>
      <c r="K58" s="5" t="str">
        <f>IF(OR(B58="",C58=""),"",SUMIFS($H$4:H57,$B$4:B57,B58,$C$4:C57,C58))</f>
        <v/>
      </c>
      <c r="L58" s="4" t="str">
        <f>IF(OR(B58="",C58=""),"",IFERROR(LOOKUP(2,1/(($B$4:B57=B58)*($C$4:C57=C58)),$O$4:O57),0))</f>
        <v/>
      </c>
      <c r="M58" s="4" t="e">
        <f t="shared" si="24"/>
        <v>#VALUE!</v>
      </c>
      <c r="N58" s="4">
        <f t="shared" si="25"/>
        <v>0</v>
      </c>
      <c r="O58" s="4" t="str">
        <f t="shared" si="26"/>
        <v/>
      </c>
      <c r="P58" s="5" t="str">
        <f t="shared" si="27"/>
        <v/>
      </c>
      <c r="Q58" s="4" t="e">
        <f t="shared" si="28"/>
        <v>#VALUE!</v>
      </c>
      <c r="R58" s="3"/>
      <c r="S58" t="str">
        <f t="shared" si="32"/>
        <v/>
      </c>
    </row>
    <row r="59" spans="1:19" x14ac:dyDescent="0.4">
      <c r="A59" s="3"/>
      <c r="B59" s="3"/>
      <c r="C59" s="3"/>
      <c r="D59" s="3"/>
      <c r="E59" s="3"/>
      <c r="F59" s="3"/>
      <c r="G59" s="3"/>
      <c r="H59" t="str">
        <f t="shared" si="29"/>
        <v/>
      </c>
      <c r="I59" s="4" t="str">
        <f t="shared" si="30"/>
        <v/>
      </c>
      <c r="J59" s="4" t="str">
        <f t="shared" si="31"/>
        <v/>
      </c>
      <c r="K59" s="5" t="str">
        <f>IF(OR(B59="",C59=""),"",SUMIFS($H$4:H58,$B$4:B58,B59,$C$4:C58,C59))</f>
        <v/>
      </c>
      <c r="L59" s="4" t="str">
        <f>IF(OR(B59="",C59=""),"",IFERROR(LOOKUP(2,1/(($B$4:B58=B59)*($C$4:C58=C59)),$O$4:O58),0))</f>
        <v/>
      </c>
      <c r="M59" s="4" t="e">
        <f t="shared" si="24"/>
        <v>#VALUE!</v>
      </c>
      <c r="N59" s="4">
        <f t="shared" si="25"/>
        <v>0</v>
      </c>
      <c r="O59" s="4" t="str">
        <f t="shared" si="26"/>
        <v/>
      </c>
      <c r="P59" s="5" t="str">
        <f t="shared" si="27"/>
        <v/>
      </c>
      <c r="Q59" s="4" t="e">
        <f t="shared" si="28"/>
        <v>#VALUE!</v>
      </c>
      <c r="R59" s="3"/>
      <c r="S59" t="str">
        <f t="shared" si="32"/>
        <v/>
      </c>
    </row>
    <row r="60" spans="1:19" x14ac:dyDescent="0.4">
      <c r="A60" s="3"/>
      <c r="B60" s="3"/>
      <c r="C60" s="3"/>
      <c r="D60" s="3"/>
      <c r="E60" s="3"/>
      <c r="F60" s="3"/>
      <c r="G60" s="3"/>
      <c r="H60" t="str">
        <f t="shared" si="29"/>
        <v/>
      </c>
      <c r="I60" s="4" t="str">
        <f t="shared" si="30"/>
        <v/>
      </c>
      <c r="J60" s="4" t="str">
        <f t="shared" si="31"/>
        <v/>
      </c>
      <c r="K60" s="5" t="str">
        <f>IF(OR(B60="",C60=""),"",SUMIFS($H$4:H59,$B$4:B59,B60,$C$4:C59,C60))</f>
        <v/>
      </c>
      <c r="L60" s="4" t="str">
        <f>IF(OR(B60="",C60=""),"",IFERROR(LOOKUP(2,1/(($B$4:B59=B60)*($C$4:C59=C60)),$O$4:O59),0))</f>
        <v/>
      </c>
      <c r="M60" s="4" t="e">
        <f t="shared" si="24"/>
        <v>#VALUE!</v>
      </c>
      <c r="N60" s="4">
        <f t="shared" si="25"/>
        <v>0</v>
      </c>
      <c r="O60" s="4" t="str">
        <f t="shared" si="26"/>
        <v/>
      </c>
      <c r="P60" s="5" t="str">
        <f t="shared" si="27"/>
        <v/>
      </c>
      <c r="Q60" s="4" t="e">
        <f t="shared" si="28"/>
        <v>#VALUE!</v>
      </c>
      <c r="R60" s="3"/>
      <c r="S60" t="str">
        <f t="shared" si="32"/>
        <v/>
      </c>
    </row>
    <row r="61" spans="1:19" x14ac:dyDescent="0.4">
      <c r="A61" s="3"/>
      <c r="B61" s="3"/>
      <c r="C61" s="3"/>
      <c r="D61" s="3"/>
      <c r="E61" s="3"/>
      <c r="F61" s="3"/>
      <c r="G61" s="3"/>
      <c r="H61" t="str">
        <f t="shared" si="29"/>
        <v/>
      </c>
      <c r="I61" s="4" t="str">
        <f t="shared" si="30"/>
        <v/>
      </c>
      <c r="J61" s="4" t="str">
        <f t="shared" si="31"/>
        <v/>
      </c>
      <c r="K61" s="5" t="str">
        <f>IF(OR(B61="",C61=""),"",SUMIFS($H$4:H60,$B$4:B60,B61,$C$4:C60,C61))</f>
        <v/>
      </c>
      <c r="L61" s="4" t="str">
        <f>IF(OR(B61="",C61=""),"",IFERROR(LOOKUP(2,1/(($B$4:B60=B61)*($C$4:C60=C61)),$O$4:O60),0))</f>
        <v/>
      </c>
      <c r="M61" s="4" t="e">
        <f t="shared" si="24"/>
        <v>#VALUE!</v>
      </c>
      <c r="N61" s="4">
        <f t="shared" si="25"/>
        <v>0</v>
      </c>
      <c r="O61" s="4" t="str">
        <f t="shared" si="26"/>
        <v/>
      </c>
      <c r="P61" s="5" t="str">
        <f t="shared" si="27"/>
        <v/>
      </c>
      <c r="Q61" s="4" t="e">
        <f t="shared" si="28"/>
        <v>#VALUE!</v>
      </c>
      <c r="R61" s="3"/>
      <c r="S61" t="str">
        <f t="shared" si="32"/>
        <v/>
      </c>
    </row>
    <row r="62" spans="1:19" x14ac:dyDescent="0.4">
      <c r="A62" s="3"/>
      <c r="B62" s="3"/>
      <c r="C62" s="3"/>
      <c r="D62" s="3"/>
      <c r="E62" s="3"/>
      <c r="F62" s="3"/>
      <c r="G62" s="3"/>
      <c r="H62" t="str">
        <f t="shared" si="29"/>
        <v/>
      </c>
      <c r="I62" s="4" t="str">
        <f t="shared" si="30"/>
        <v/>
      </c>
      <c r="J62" s="4" t="str">
        <f t="shared" si="31"/>
        <v/>
      </c>
      <c r="K62" s="5" t="str">
        <f>IF(OR(B62="",C62=""),"",SUMIFS($H$4:H61,$B$4:B61,B62,$C$4:C61,C62))</f>
        <v/>
      </c>
      <c r="L62" s="4" t="str">
        <f>IF(OR(B62="",C62=""),"",IFERROR(LOOKUP(2,1/(($B$4:B61=B62)*($C$4:C61=C62)),$O$4:O61),0))</f>
        <v/>
      </c>
      <c r="M62" s="4" t="e">
        <f t="shared" si="24"/>
        <v>#VALUE!</v>
      </c>
      <c r="N62" s="4">
        <f t="shared" si="25"/>
        <v>0</v>
      </c>
      <c r="O62" s="4" t="str">
        <f t="shared" si="26"/>
        <v/>
      </c>
      <c r="P62" s="5" t="str">
        <f t="shared" si="27"/>
        <v/>
      </c>
      <c r="Q62" s="4" t="e">
        <f t="shared" si="28"/>
        <v>#VALUE!</v>
      </c>
      <c r="R62" s="3"/>
      <c r="S62" t="str">
        <f t="shared" si="32"/>
        <v/>
      </c>
    </row>
    <row r="63" spans="1:19" x14ac:dyDescent="0.4">
      <c r="A63" s="3"/>
      <c r="B63" s="3"/>
      <c r="C63" s="3"/>
      <c r="D63" s="3"/>
      <c r="E63" s="3"/>
      <c r="F63" s="3"/>
      <c r="G63" s="3"/>
      <c r="H63" t="str">
        <f t="shared" si="29"/>
        <v/>
      </c>
      <c r="I63" s="4" t="str">
        <f t="shared" si="30"/>
        <v/>
      </c>
      <c r="J63" s="4" t="str">
        <f t="shared" si="31"/>
        <v/>
      </c>
      <c r="K63" s="5" t="str">
        <f>IF(OR(B63="",C63=""),"",SUMIFS($H$4:H62,$B$4:B62,B63,$C$4:C62,C63))</f>
        <v/>
      </c>
      <c r="L63" s="4" t="str">
        <f>IF(OR(B63="",C63=""),"",IFERROR(LOOKUP(2,1/(($B$4:B62=B63)*($C$4:C62=C63)),$O$4:O62),0))</f>
        <v/>
      </c>
      <c r="M63" s="4" t="e">
        <f t="shared" si="24"/>
        <v>#VALUE!</v>
      </c>
      <c r="N63" s="4">
        <f t="shared" si="25"/>
        <v>0</v>
      </c>
      <c r="O63" s="4" t="str">
        <f t="shared" si="26"/>
        <v/>
      </c>
      <c r="P63" s="5" t="str">
        <f t="shared" si="27"/>
        <v/>
      </c>
      <c r="Q63" s="4" t="e">
        <f t="shared" si="28"/>
        <v>#VALUE!</v>
      </c>
      <c r="R63" s="3"/>
      <c r="S63" t="str">
        <f t="shared" si="32"/>
        <v/>
      </c>
    </row>
    <row r="64" spans="1:19" x14ac:dyDescent="0.4">
      <c r="A64" s="3"/>
      <c r="B64" s="3"/>
      <c r="C64" s="3"/>
      <c r="D64" s="3"/>
      <c r="E64" s="3"/>
      <c r="F64" s="3"/>
      <c r="G64" s="3"/>
      <c r="H64" t="str">
        <f t="shared" si="29"/>
        <v/>
      </c>
      <c r="I64" s="4" t="str">
        <f t="shared" si="30"/>
        <v/>
      </c>
      <c r="J64" s="4" t="str">
        <f t="shared" si="31"/>
        <v/>
      </c>
      <c r="K64" s="5" t="str">
        <f>IF(OR(B64="",C64=""),"",SUMIFS($H$4:H63,$B$4:B63,B64,$C$4:C63,C64))</f>
        <v/>
      </c>
      <c r="L64" s="4" t="str">
        <f>IF(OR(B64="",C64=""),"",IFERROR(LOOKUP(2,1/(($B$4:B63=B64)*($C$4:C63=C64)),$O$4:O63),0))</f>
        <v/>
      </c>
      <c r="M64" s="4" t="e">
        <f t="shared" si="24"/>
        <v>#VALUE!</v>
      </c>
      <c r="N64" s="4">
        <f t="shared" si="25"/>
        <v>0</v>
      </c>
      <c r="O64" s="4" t="str">
        <f t="shared" si="26"/>
        <v/>
      </c>
      <c r="P64" s="5" t="str">
        <f t="shared" si="27"/>
        <v/>
      </c>
      <c r="Q64" s="4" t="e">
        <f t="shared" si="28"/>
        <v>#VALUE!</v>
      </c>
      <c r="R64" s="3"/>
      <c r="S64" t="str">
        <f t="shared" si="32"/>
        <v/>
      </c>
    </row>
    <row r="65" spans="1:19" x14ac:dyDescent="0.4">
      <c r="A65" s="3"/>
      <c r="B65" s="3"/>
      <c r="C65" s="3"/>
      <c r="D65" s="3"/>
      <c r="E65" s="3"/>
      <c r="F65" s="3"/>
      <c r="G65" s="3"/>
      <c r="H65" t="str">
        <f t="shared" si="29"/>
        <v/>
      </c>
      <c r="I65" s="4" t="str">
        <f t="shared" si="30"/>
        <v/>
      </c>
      <c r="J65" s="4" t="str">
        <f t="shared" si="31"/>
        <v/>
      </c>
      <c r="K65" s="5" t="str">
        <f>IF(OR(B65="",C65=""),"",SUMIFS($H$4:H64,$B$4:B64,B65,$C$4:C64,C65))</f>
        <v/>
      </c>
      <c r="L65" s="4" t="str">
        <f>IF(OR(B65="",C65=""),"",IFERROR(LOOKUP(2,1/(($B$4:B64=B65)*($C$4:C64=C65)),$O$4:O64),0))</f>
        <v/>
      </c>
      <c r="M65" s="4" t="e">
        <f t="shared" si="24"/>
        <v>#VALUE!</v>
      </c>
      <c r="N65" s="4">
        <f t="shared" si="25"/>
        <v>0</v>
      </c>
      <c r="O65" s="4" t="str">
        <f t="shared" si="26"/>
        <v/>
      </c>
      <c r="P65" s="5" t="str">
        <f t="shared" si="27"/>
        <v/>
      </c>
      <c r="Q65" s="4" t="e">
        <f t="shared" si="28"/>
        <v>#VALUE!</v>
      </c>
      <c r="R65" s="3"/>
      <c r="S65" t="str">
        <f t="shared" si="32"/>
        <v/>
      </c>
    </row>
    <row r="66" spans="1:19" x14ac:dyDescent="0.4">
      <c r="A66" s="3"/>
      <c r="B66" s="3"/>
      <c r="C66" s="3"/>
      <c r="D66" s="3"/>
      <c r="E66" s="3"/>
      <c r="F66" s="3"/>
      <c r="G66" s="3"/>
      <c r="H66" t="str">
        <f t="shared" si="29"/>
        <v/>
      </c>
      <c r="I66" s="4" t="str">
        <f t="shared" si="30"/>
        <v/>
      </c>
      <c r="J66" s="4" t="str">
        <f t="shared" si="31"/>
        <v/>
      </c>
      <c r="K66" s="5" t="str">
        <f>IF(OR(B66="",C66=""),"",SUMIFS($H$4:H65,$B$4:B65,B66,$C$4:C65,C66))</f>
        <v/>
      </c>
      <c r="L66" s="4" t="str">
        <f>IF(OR(B66="",C66=""),"",IFERROR(LOOKUP(2,1/(($B$4:B65=B66)*($C$4:C65=C66)),$O$4:O65),0))</f>
        <v/>
      </c>
      <c r="M66" s="4" t="e">
        <f t="shared" si="24"/>
        <v>#VALUE!</v>
      </c>
      <c r="N66" s="4">
        <f t="shared" si="25"/>
        <v>0</v>
      </c>
      <c r="O66" s="4" t="str">
        <f t="shared" si="26"/>
        <v/>
      </c>
      <c r="P66" s="5" t="str">
        <f t="shared" si="27"/>
        <v/>
      </c>
      <c r="Q66" s="4" t="e">
        <f t="shared" si="28"/>
        <v>#VALUE!</v>
      </c>
      <c r="R66" s="3"/>
      <c r="S66" t="str">
        <f t="shared" si="32"/>
        <v/>
      </c>
    </row>
    <row r="67" spans="1:19" x14ac:dyDescent="0.4">
      <c r="A67" s="3"/>
      <c r="B67" s="3"/>
      <c r="C67" s="3"/>
      <c r="D67" s="3"/>
      <c r="E67" s="3"/>
      <c r="F67" s="3"/>
      <c r="G67" s="3"/>
      <c r="H67" t="str">
        <f t="shared" si="29"/>
        <v/>
      </c>
      <c r="I67" s="4" t="str">
        <f t="shared" si="30"/>
        <v/>
      </c>
      <c r="J67" s="4" t="str">
        <f t="shared" si="31"/>
        <v/>
      </c>
      <c r="K67" s="5" t="str">
        <f>IF(OR(B67="",C67=""),"",SUMIFS($H$4:H66,$B$4:B66,B67,$C$4:C66,C67))</f>
        <v/>
      </c>
      <c r="L67" s="4" t="str">
        <f>IF(OR(B67="",C67=""),"",IFERROR(LOOKUP(2,1/(($B$4:B66=B67)*($C$4:C66=C67)),$O$4:O66),0))</f>
        <v/>
      </c>
      <c r="M67" s="4" t="e">
        <f t="shared" si="24"/>
        <v>#VALUE!</v>
      </c>
      <c r="N67" s="4">
        <f t="shared" si="25"/>
        <v>0</v>
      </c>
      <c r="O67" s="4" t="str">
        <f t="shared" si="26"/>
        <v/>
      </c>
      <c r="P67" s="5" t="str">
        <f t="shared" si="27"/>
        <v/>
      </c>
      <c r="Q67" s="4" t="e">
        <f t="shared" si="28"/>
        <v>#VALUE!</v>
      </c>
      <c r="R67" s="3"/>
      <c r="S67" t="str">
        <f t="shared" si="32"/>
        <v/>
      </c>
    </row>
    <row r="68" spans="1:19" x14ac:dyDescent="0.4">
      <c r="A68" s="3"/>
      <c r="B68" s="3"/>
      <c r="C68" s="3"/>
      <c r="D68" s="3"/>
      <c r="E68" s="3"/>
      <c r="F68" s="3"/>
      <c r="G68" s="3"/>
      <c r="H68" t="str">
        <f t="shared" si="29"/>
        <v/>
      </c>
      <c r="I68" s="4" t="str">
        <f t="shared" si="30"/>
        <v/>
      </c>
      <c r="J68" s="4" t="str">
        <f t="shared" si="31"/>
        <v/>
      </c>
      <c r="K68" s="5" t="str">
        <f>IF(OR(B68="",C68=""),"",SUMIFS($H$4:H67,$B$4:B67,B68,$C$4:C67,C68))</f>
        <v/>
      </c>
      <c r="L68" s="4" t="str">
        <f>IF(OR(B68="",C68=""),"",IFERROR(LOOKUP(2,1/(($B$4:B67=B68)*($C$4:C67=C68)),$O$4:O67),0))</f>
        <v/>
      </c>
      <c r="M68" s="4" t="e">
        <f t="shared" si="24"/>
        <v>#VALUE!</v>
      </c>
      <c r="N68" s="4">
        <f t="shared" si="25"/>
        <v>0</v>
      </c>
      <c r="O68" s="4" t="str">
        <f t="shared" si="26"/>
        <v/>
      </c>
      <c r="P68" s="5" t="str">
        <f t="shared" si="27"/>
        <v/>
      </c>
      <c r="Q68" s="4" t="e">
        <f t="shared" si="28"/>
        <v>#VALUE!</v>
      </c>
      <c r="R68" s="3"/>
      <c r="S68" t="str">
        <f t="shared" si="32"/>
        <v/>
      </c>
    </row>
    <row r="69" spans="1:19" x14ac:dyDescent="0.4">
      <c r="A69" s="3"/>
      <c r="B69" s="3"/>
      <c r="C69" s="3"/>
      <c r="D69" s="3"/>
      <c r="E69" s="3"/>
      <c r="F69" s="3"/>
      <c r="G69" s="3"/>
      <c r="H69" t="str">
        <f t="shared" si="29"/>
        <v/>
      </c>
      <c r="I69" s="4" t="str">
        <f t="shared" si="30"/>
        <v/>
      </c>
      <c r="J69" s="4" t="str">
        <f t="shared" si="31"/>
        <v/>
      </c>
      <c r="K69" s="5" t="str">
        <f>IF(OR(B69="",C69=""),"",SUMIFS($H$4:H68,$B$4:B68,B69,$C$4:C68,C69))</f>
        <v/>
      </c>
      <c r="L69" s="4" t="str">
        <f>IF(OR(B69="",C69=""),"",IFERROR(LOOKUP(2,1/(($B$4:B68=B69)*($C$4:C68=C69)),$O$4:O68),0))</f>
        <v/>
      </c>
      <c r="M69" s="4" t="e">
        <f t="shared" si="24"/>
        <v>#VALUE!</v>
      </c>
      <c r="N69" s="4">
        <f t="shared" si="25"/>
        <v>0</v>
      </c>
      <c r="O69" s="4" t="str">
        <f t="shared" si="26"/>
        <v/>
      </c>
      <c r="P69" s="5" t="str">
        <f t="shared" si="27"/>
        <v/>
      </c>
      <c r="Q69" s="4" t="e">
        <f t="shared" si="28"/>
        <v>#VALUE!</v>
      </c>
      <c r="R69" s="3"/>
      <c r="S69" t="str">
        <f t="shared" si="32"/>
        <v/>
      </c>
    </row>
    <row r="70" spans="1:19" x14ac:dyDescent="0.4">
      <c r="A70" s="3"/>
      <c r="B70" s="3"/>
      <c r="C70" s="3"/>
      <c r="D70" s="3"/>
      <c r="E70" s="3"/>
      <c r="F70" s="3"/>
      <c r="G70" s="3"/>
      <c r="H70" t="str">
        <f t="shared" si="29"/>
        <v/>
      </c>
      <c r="I70" s="4" t="str">
        <f t="shared" si="30"/>
        <v/>
      </c>
      <c r="J70" s="4" t="str">
        <f t="shared" si="31"/>
        <v/>
      </c>
      <c r="K70" s="5" t="str">
        <f>IF(OR(B70="",C70=""),"",SUMIFS($H$4:H69,$B$4:B69,B70,$C$4:C69,C70))</f>
        <v/>
      </c>
      <c r="L70" s="4" t="str">
        <f>IF(OR(B70="",C70=""),"",IFERROR(LOOKUP(2,1/(($B$4:B69=B70)*($C$4:C69=C70)),$O$4:O69),0))</f>
        <v/>
      </c>
      <c r="M70" s="4" t="e">
        <f t="shared" si="24"/>
        <v>#VALUE!</v>
      </c>
      <c r="N70" s="4">
        <f t="shared" si="25"/>
        <v>0</v>
      </c>
      <c r="O70" s="4" t="str">
        <f t="shared" si="26"/>
        <v/>
      </c>
      <c r="P70" s="5" t="str">
        <f t="shared" si="27"/>
        <v/>
      </c>
      <c r="Q70" s="4" t="e">
        <f t="shared" si="28"/>
        <v>#VALUE!</v>
      </c>
      <c r="R70" s="3"/>
      <c r="S70" t="str">
        <f t="shared" si="32"/>
        <v/>
      </c>
    </row>
    <row r="71" spans="1:19" x14ac:dyDescent="0.4">
      <c r="A71" s="3"/>
      <c r="B71" s="3"/>
      <c r="C71" s="3"/>
      <c r="D71" s="3"/>
      <c r="E71" s="3"/>
      <c r="F71" s="3"/>
      <c r="G71" s="3"/>
      <c r="H71" t="str">
        <f t="shared" ref="H71:H102" si="33">IF(OR(D71="",E71=""),"",IF(D71="BUY",E71,-E71))</f>
        <v/>
      </c>
      <c r="I71" s="4" t="str">
        <f t="shared" ref="I71:I102" si="34">IF(H71="","",ABS(H71)*F71)</f>
        <v/>
      </c>
      <c r="J71" s="4" t="str">
        <f t="shared" ref="J71:J102" si="35">IF(H71="","",-H71*F71-G71)</f>
        <v/>
      </c>
      <c r="K71" s="5" t="str">
        <f>IF(OR(B71="",C71=""),"",SUMIFS($H$4:H70,$B$4:B70,B71,$C$4:C70,C71))</f>
        <v/>
      </c>
      <c r="L71" s="4" t="str">
        <f>IF(OR(B71="",C71=""),"",IFERROR(LOOKUP(2,1/(($B$4:B70=B71)*($C$4:C70=C71)),$O$4:O70),0))</f>
        <v/>
      </c>
      <c r="M71" s="4" t="e">
        <f t="shared" si="24"/>
        <v>#VALUE!</v>
      </c>
      <c r="N71" s="4">
        <f t="shared" si="25"/>
        <v>0</v>
      </c>
      <c r="O71" s="4" t="str">
        <f t="shared" si="26"/>
        <v/>
      </c>
      <c r="P71" s="5" t="str">
        <f t="shared" si="27"/>
        <v/>
      </c>
      <c r="Q71" s="4" t="e">
        <f t="shared" si="28"/>
        <v>#VALUE!</v>
      </c>
      <c r="R71" s="3"/>
      <c r="S71" t="str">
        <f t="shared" ref="S71:S102" si="36">IF(H71="","",IF(P71&lt;0,"ERROR: Over-sold",IF(AND(H71&lt;0,K71=0),"ERROR: Sell w/o position","")))</f>
        <v/>
      </c>
    </row>
    <row r="72" spans="1:19" x14ac:dyDescent="0.4">
      <c r="A72" s="3"/>
      <c r="B72" s="3"/>
      <c r="C72" s="3"/>
      <c r="D72" s="3"/>
      <c r="E72" s="3"/>
      <c r="F72" s="3"/>
      <c r="G72" s="3"/>
      <c r="H72" t="str">
        <f t="shared" si="33"/>
        <v/>
      </c>
      <c r="I72" s="4" t="str">
        <f t="shared" si="34"/>
        <v/>
      </c>
      <c r="J72" s="4" t="str">
        <f t="shared" si="35"/>
        <v/>
      </c>
      <c r="K72" s="5" t="str">
        <f>IF(OR(B72="",C72=""),"",SUMIFS($H$4:H71,$B$4:B71,B72,$C$4:C71,C72))</f>
        <v/>
      </c>
      <c r="L72" s="4" t="str">
        <f>IF(OR(B72="",C72=""),"",IFERROR(LOOKUP(2,1/(($B$4:B71=B72)*($C$4:C71=C72)),$O$4:O71),0))</f>
        <v/>
      </c>
      <c r="M72" s="4" t="e">
        <f t="shared" si="24"/>
        <v>#VALUE!</v>
      </c>
      <c r="N72" s="4">
        <f t="shared" si="25"/>
        <v>0</v>
      </c>
      <c r="O72" s="4" t="str">
        <f t="shared" si="26"/>
        <v/>
      </c>
      <c r="P72" s="5" t="str">
        <f t="shared" si="27"/>
        <v/>
      </c>
      <c r="Q72" s="4" t="e">
        <f t="shared" si="28"/>
        <v>#VALUE!</v>
      </c>
      <c r="R72" s="3"/>
      <c r="S72" t="str">
        <f t="shared" si="36"/>
        <v/>
      </c>
    </row>
    <row r="73" spans="1:19" x14ac:dyDescent="0.4">
      <c r="A73" s="3"/>
      <c r="B73" s="3"/>
      <c r="C73" s="3"/>
      <c r="D73" s="3"/>
      <c r="E73" s="3"/>
      <c r="F73" s="3"/>
      <c r="G73" s="3"/>
      <c r="H73" t="str">
        <f t="shared" si="33"/>
        <v/>
      </c>
      <c r="I73" s="4" t="str">
        <f t="shared" si="34"/>
        <v/>
      </c>
      <c r="J73" s="4" t="str">
        <f t="shared" si="35"/>
        <v/>
      </c>
      <c r="K73" s="5" t="str">
        <f>IF(OR(B73="",C73=""),"",SUMIFS($H$4:H72,$B$4:B72,B73,$C$4:C72,C73))</f>
        <v/>
      </c>
      <c r="L73" s="4" t="str">
        <f>IF(OR(B73="",C73=""),"",IFERROR(LOOKUP(2,1/(($B$4:B72=B73)*($C$4:C72=C73)),$O$4:O72),0))</f>
        <v/>
      </c>
      <c r="M73" s="4" t="e">
        <f t="shared" si="24"/>
        <v>#VALUE!</v>
      </c>
      <c r="N73" s="4">
        <f t="shared" si="25"/>
        <v>0</v>
      </c>
      <c r="O73" s="4" t="str">
        <f t="shared" si="26"/>
        <v/>
      </c>
      <c r="P73" s="5" t="str">
        <f t="shared" si="27"/>
        <v/>
      </c>
      <c r="Q73" s="4" t="e">
        <f t="shared" si="28"/>
        <v>#VALUE!</v>
      </c>
      <c r="R73" s="3"/>
      <c r="S73" t="str">
        <f t="shared" si="36"/>
        <v/>
      </c>
    </row>
    <row r="74" spans="1:19" x14ac:dyDescent="0.4">
      <c r="A74" s="3"/>
      <c r="B74" s="3"/>
      <c r="C74" s="3"/>
      <c r="D74" s="3"/>
      <c r="E74" s="3"/>
      <c r="F74" s="3"/>
      <c r="G74" s="3"/>
      <c r="H74" t="str">
        <f t="shared" si="33"/>
        <v/>
      </c>
      <c r="I74" s="4" t="str">
        <f t="shared" si="34"/>
        <v/>
      </c>
      <c r="J74" s="4" t="str">
        <f t="shared" si="35"/>
        <v/>
      </c>
      <c r="K74" s="5" t="str">
        <f>IF(OR(B74="",C74=""),"",SUMIFS($H$4:H73,$B$4:B73,B74,$C$4:C73,C74))</f>
        <v/>
      </c>
      <c r="L74" s="4" t="str">
        <f>IF(OR(B74="",C74=""),"",IFERROR(LOOKUP(2,1/(($B$4:B73=B74)*($C$4:C73=C74)),$O$4:O73),0))</f>
        <v/>
      </c>
      <c r="M74" s="4" t="e">
        <f t="shared" si="24"/>
        <v>#VALUE!</v>
      </c>
      <c r="N74" s="4">
        <f t="shared" si="25"/>
        <v>0</v>
      </c>
      <c r="O74" s="4" t="str">
        <f t="shared" si="26"/>
        <v/>
      </c>
      <c r="P74" s="5" t="str">
        <f t="shared" si="27"/>
        <v/>
      </c>
      <c r="Q74" s="4" t="e">
        <f t="shared" si="28"/>
        <v>#VALUE!</v>
      </c>
      <c r="R74" s="3"/>
      <c r="S74" t="str">
        <f t="shared" si="36"/>
        <v/>
      </c>
    </row>
    <row r="75" spans="1:19" x14ac:dyDescent="0.4">
      <c r="A75" s="3"/>
      <c r="B75" s="3"/>
      <c r="C75" s="3"/>
      <c r="D75" s="3"/>
      <c r="E75" s="3"/>
      <c r="F75" s="3"/>
      <c r="G75" s="3"/>
      <c r="H75" t="str">
        <f t="shared" si="33"/>
        <v/>
      </c>
      <c r="I75" s="4" t="str">
        <f t="shared" si="34"/>
        <v/>
      </c>
      <c r="J75" s="4" t="str">
        <f t="shared" si="35"/>
        <v/>
      </c>
      <c r="K75" s="5" t="str">
        <f>IF(OR(B75="",C75=""),"",SUMIFS($H$4:H74,$B$4:B74,B75,$C$4:C74,C75))</f>
        <v/>
      </c>
      <c r="L75" s="4" t="str">
        <f>IF(OR(B75="",C75=""),"",IFERROR(LOOKUP(2,1/(($B$4:B74=B75)*($C$4:C74=C75)),$O$4:O74),0))</f>
        <v/>
      </c>
      <c r="M75" s="4" t="e">
        <f t="shared" si="24"/>
        <v>#VALUE!</v>
      </c>
      <c r="N75" s="4">
        <f t="shared" si="25"/>
        <v>0</v>
      </c>
      <c r="O75" s="4" t="str">
        <f t="shared" si="26"/>
        <v/>
      </c>
      <c r="P75" s="5" t="str">
        <f t="shared" si="27"/>
        <v/>
      </c>
      <c r="Q75" s="4" t="e">
        <f t="shared" si="28"/>
        <v>#VALUE!</v>
      </c>
      <c r="R75" s="3"/>
      <c r="S75" t="str">
        <f t="shared" si="36"/>
        <v/>
      </c>
    </row>
    <row r="76" spans="1:19" x14ac:dyDescent="0.4">
      <c r="A76" s="3"/>
      <c r="B76" s="3"/>
      <c r="C76" s="3"/>
      <c r="D76" s="3"/>
      <c r="E76" s="3"/>
      <c r="F76" s="3"/>
      <c r="G76" s="3"/>
      <c r="H76" t="str">
        <f t="shared" si="33"/>
        <v/>
      </c>
      <c r="I76" s="4" t="str">
        <f t="shared" si="34"/>
        <v/>
      </c>
      <c r="J76" s="4" t="str">
        <f t="shared" si="35"/>
        <v/>
      </c>
      <c r="K76" s="5" t="str">
        <f>IF(OR(B76="",C76=""),"",SUMIFS($H$4:H75,$B$4:B75,B76,$C$4:C75,C76))</f>
        <v/>
      </c>
      <c r="L76" s="4" t="str">
        <f>IF(OR(B76="",C76=""),"",IFERROR(LOOKUP(2,1/(($B$4:B75=B76)*($C$4:C75=C76)),$O$4:O75),0))</f>
        <v/>
      </c>
      <c r="M76" s="4" t="e">
        <f t="shared" si="24"/>
        <v>#VALUE!</v>
      </c>
      <c r="N76" s="4">
        <f t="shared" si="25"/>
        <v>0</v>
      </c>
      <c r="O76" s="4" t="str">
        <f t="shared" si="26"/>
        <v/>
      </c>
      <c r="P76" s="5" t="str">
        <f t="shared" si="27"/>
        <v/>
      </c>
      <c r="Q76" s="4" t="e">
        <f t="shared" si="28"/>
        <v>#VALUE!</v>
      </c>
      <c r="R76" s="3"/>
      <c r="S76" t="str">
        <f t="shared" si="36"/>
        <v/>
      </c>
    </row>
    <row r="77" spans="1:19" x14ac:dyDescent="0.4">
      <c r="A77" s="3"/>
      <c r="B77" s="3"/>
      <c r="C77" s="3"/>
      <c r="D77" s="3"/>
      <c r="E77" s="3"/>
      <c r="F77" s="3"/>
      <c r="G77" s="3"/>
      <c r="H77" t="str">
        <f t="shared" si="33"/>
        <v/>
      </c>
      <c r="I77" s="4" t="str">
        <f t="shared" si="34"/>
        <v/>
      </c>
      <c r="J77" s="4" t="str">
        <f t="shared" si="35"/>
        <v/>
      </c>
      <c r="K77" s="5" t="str">
        <f>IF(OR(B77="",C77=""),"",SUMIFS($H$4:H76,$B$4:B76,B77,$C$4:C76,C77))</f>
        <v/>
      </c>
      <c r="L77" s="4" t="str">
        <f>IF(OR(B77="",C77=""),"",IFERROR(LOOKUP(2,1/(($B$4:B76=B77)*($C$4:C76=C77)),$O$4:O76),0))</f>
        <v/>
      </c>
      <c r="M77" s="4" t="e">
        <f t="shared" si="24"/>
        <v>#VALUE!</v>
      </c>
      <c r="N77" s="4">
        <f t="shared" si="25"/>
        <v>0</v>
      </c>
      <c r="O77" s="4" t="str">
        <f t="shared" si="26"/>
        <v/>
      </c>
      <c r="P77" s="5" t="str">
        <f t="shared" si="27"/>
        <v/>
      </c>
      <c r="Q77" s="4" t="e">
        <f t="shared" si="28"/>
        <v>#VALUE!</v>
      </c>
      <c r="R77" s="3"/>
      <c r="S77" t="str">
        <f t="shared" si="36"/>
        <v/>
      </c>
    </row>
    <row r="78" spans="1:19" x14ac:dyDescent="0.4">
      <c r="A78" s="3"/>
      <c r="B78" s="3"/>
      <c r="C78" s="3"/>
      <c r="D78" s="3"/>
      <c r="E78" s="3"/>
      <c r="F78" s="3"/>
      <c r="G78" s="3"/>
      <c r="H78" t="str">
        <f t="shared" si="33"/>
        <v/>
      </c>
      <c r="I78" s="4" t="str">
        <f t="shared" si="34"/>
        <v/>
      </c>
      <c r="J78" s="4" t="str">
        <f t="shared" si="35"/>
        <v/>
      </c>
      <c r="K78" s="5" t="str">
        <f>IF(OR(B78="",C78=""),"",SUMIFS($H$4:H77,$B$4:B77,B78,$C$4:C77,C78))</f>
        <v/>
      </c>
      <c r="L78" s="4" t="str">
        <f>IF(OR(B78="",C78=""),"",IFERROR(LOOKUP(2,1/(($B$4:B77=B78)*($C$4:C77=C78)),$O$4:O77),0))</f>
        <v/>
      </c>
      <c r="M78" s="4" t="e">
        <f t="shared" si="24"/>
        <v>#VALUE!</v>
      </c>
      <c r="N78" s="4">
        <f t="shared" si="25"/>
        <v>0</v>
      </c>
      <c r="O78" s="4" t="str">
        <f t="shared" si="26"/>
        <v/>
      </c>
      <c r="P78" s="5" t="str">
        <f t="shared" si="27"/>
        <v/>
      </c>
      <c r="Q78" s="4" t="e">
        <f t="shared" si="28"/>
        <v>#VALUE!</v>
      </c>
      <c r="R78" s="3"/>
      <c r="S78" t="str">
        <f t="shared" si="36"/>
        <v/>
      </c>
    </row>
    <row r="79" spans="1:19" x14ac:dyDescent="0.4">
      <c r="A79" s="3"/>
      <c r="B79" s="3"/>
      <c r="C79" s="3"/>
      <c r="D79" s="3"/>
      <c r="E79" s="3"/>
      <c r="F79" s="3"/>
      <c r="G79" s="3"/>
      <c r="H79" t="str">
        <f t="shared" si="33"/>
        <v/>
      </c>
      <c r="I79" s="4" t="str">
        <f t="shared" si="34"/>
        <v/>
      </c>
      <c r="J79" s="4" t="str">
        <f t="shared" si="35"/>
        <v/>
      </c>
      <c r="K79" s="5" t="str">
        <f>IF(OR(B79="",C79=""),"",SUMIFS($H$4:H78,$B$4:B78,B79,$C$4:C78,C79))</f>
        <v/>
      </c>
      <c r="L79" s="4" t="str">
        <f>IF(OR(B79="",C79=""),"",IFERROR(LOOKUP(2,1/(($B$4:B78=B79)*($C$4:C78=C79)),$O$4:O78),0))</f>
        <v/>
      </c>
      <c r="M79" s="4" t="e">
        <f t="shared" si="24"/>
        <v>#VALUE!</v>
      </c>
      <c r="N79" s="4">
        <f t="shared" si="25"/>
        <v>0</v>
      </c>
      <c r="O79" s="4" t="str">
        <f t="shared" si="26"/>
        <v/>
      </c>
      <c r="P79" s="5" t="str">
        <f t="shared" si="27"/>
        <v/>
      </c>
      <c r="Q79" s="4" t="e">
        <f t="shared" si="28"/>
        <v>#VALUE!</v>
      </c>
      <c r="R79" s="3"/>
      <c r="S79" t="str">
        <f t="shared" si="36"/>
        <v/>
      </c>
    </row>
    <row r="80" spans="1:19" x14ac:dyDescent="0.4">
      <c r="A80" s="3"/>
      <c r="B80" s="3"/>
      <c r="C80" s="3"/>
      <c r="D80" s="3"/>
      <c r="E80" s="3"/>
      <c r="F80" s="3"/>
      <c r="G80" s="3"/>
      <c r="H80" t="str">
        <f t="shared" si="33"/>
        <v/>
      </c>
      <c r="I80" s="4" t="str">
        <f t="shared" si="34"/>
        <v/>
      </c>
      <c r="J80" s="4" t="str">
        <f t="shared" si="35"/>
        <v/>
      </c>
      <c r="K80" s="5" t="str">
        <f>IF(OR(B80="",C80=""),"",SUMIFS($H$4:H79,$B$4:B79,B80,$C$4:C79,C80))</f>
        <v/>
      </c>
      <c r="L80" s="4" t="str">
        <f>IF(OR(B80="",C80=""),"",IFERROR(LOOKUP(2,1/(($B$4:B79=B80)*($C$4:C79=C80)),$O$4:O79),0))</f>
        <v/>
      </c>
      <c r="M80" s="4" t="e">
        <f t="shared" si="24"/>
        <v>#VALUE!</v>
      </c>
      <c r="N80" s="4">
        <f t="shared" si="25"/>
        <v>0</v>
      </c>
      <c r="O80" s="4" t="str">
        <f t="shared" si="26"/>
        <v/>
      </c>
      <c r="P80" s="5" t="str">
        <f t="shared" si="27"/>
        <v/>
      </c>
      <c r="Q80" s="4" t="e">
        <f t="shared" si="28"/>
        <v>#VALUE!</v>
      </c>
      <c r="R80" s="3"/>
      <c r="S80" t="str">
        <f t="shared" si="36"/>
        <v/>
      </c>
    </row>
    <row r="81" spans="1:19" x14ac:dyDescent="0.4">
      <c r="A81" s="3"/>
      <c r="B81" s="3"/>
      <c r="C81" s="3"/>
      <c r="D81" s="3"/>
      <c r="E81" s="3"/>
      <c r="F81" s="3"/>
      <c r="G81" s="3"/>
      <c r="H81" t="str">
        <f t="shared" si="33"/>
        <v/>
      </c>
      <c r="I81" s="4" t="str">
        <f t="shared" si="34"/>
        <v/>
      </c>
      <c r="J81" s="4" t="str">
        <f t="shared" si="35"/>
        <v/>
      </c>
      <c r="K81" s="5" t="str">
        <f>IF(OR(B81="",C81=""),"",SUMIFS($H$4:H80,$B$4:B80,B81,$C$4:C80,C81))</f>
        <v/>
      </c>
      <c r="L81" s="4" t="str">
        <f>IF(OR(B81="",C81=""),"",IFERROR(LOOKUP(2,1/(($B$4:B80=B81)*($C$4:C80=C81)),$O$4:O80),0))</f>
        <v/>
      </c>
      <c r="M81" s="4" t="e">
        <f t="shared" si="24"/>
        <v>#VALUE!</v>
      </c>
      <c r="N81" s="4">
        <f t="shared" si="25"/>
        <v>0</v>
      </c>
      <c r="O81" s="4" t="str">
        <f t="shared" si="26"/>
        <v/>
      </c>
      <c r="P81" s="5" t="str">
        <f t="shared" si="27"/>
        <v/>
      </c>
      <c r="Q81" s="4" t="e">
        <f t="shared" si="28"/>
        <v>#VALUE!</v>
      </c>
      <c r="R81" s="3"/>
      <c r="S81" t="str">
        <f t="shared" si="36"/>
        <v/>
      </c>
    </row>
    <row r="82" spans="1:19" x14ac:dyDescent="0.4">
      <c r="A82" s="3"/>
      <c r="B82" s="3"/>
      <c r="C82" s="3"/>
      <c r="D82" s="3"/>
      <c r="E82" s="3"/>
      <c r="F82" s="3"/>
      <c r="G82" s="3"/>
      <c r="H82" t="str">
        <f t="shared" si="33"/>
        <v/>
      </c>
      <c r="I82" s="4" t="str">
        <f t="shared" si="34"/>
        <v/>
      </c>
      <c r="J82" s="4" t="str">
        <f t="shared" si="35"/>
        <v/>
      </c>
      <c r="K82" s="5" t="str">
        <f>IF(OR(B82="",C82=""),"",SUMIFS($H$4:H81,$B$4:B81,B82,$C$4:C81,C82))</f>
        <v/>
      </c>
      <c r="L82" s="4" t="str">
        <f>IF(OR(B82="",C82=""),"",IFERROR(LOOKUP(2,1/(($B$4:B81=B82)*($C$4:C81=C82)),$O$4:O81),0))</f>
        <v/>
      </c>
      <c r="M82" s="4" t="e">
        <f t="shared" si="24"/>
        <v>#VALUE!</v>
      </c>
      <c r="N82" s="4">
        <f t="shared" si="25"/>
        <v>0</v>
      </c>
      <c r="O82" s="4" t="str">
        <f t="shared" si="26"/>
        <v/>
      </c>
      <c r="P82" s="5" t="str">
        <f t="shared" si="27"/>
        <v/>
      </c>
      <c r="Q82" s="4" t="e">
        <f t="shared" si="28"/>
        <v>#VALUE!</v>
      </c>
      <c r="R82" s="3"/>
      <c r="S82" t="str">
        <f t="shared" si="36"/>
        <v/>
      </c>
    </row>
    <row r="83" spans="1:19" x14ac:dyDescent="0.4">
      <c r="A83" s="3"/>
      <c r="B83" s="3"/>
      <c r="C83" s="3"/>
      <c r="D83" s="3"/>
      <c r="E83" s="3"/>
      <c r="F83" s="3"/>
      <c r="G83" s="3"/>
      <c r="H83" t="str">
        <f t="shared" si="33"/>
        <v/>
      </c>
      <c r="I83" s="4" t="str">
        <f t="shared" si="34"/>
        <v/>
      </c>
      <c r="J83" s="4" t="str">
        <f t="shared" si="35"/>
        <v/>
      </c>
      <c r="K83" s="5" t="str">
        <f>IF(OR(B83="",C83=""),"",SUMIFS($H$4:H82,$B$4:B82,B83,$C$4:C82,C83))</f>
        <v/>
      </c>
      <c r="L83" s="4" t="str">
        <f>IF(OR(B83="",C83=""),"",IFERROR(LOOKUP(2,1/(($B$4:B82=B83)*($C$4:C82=C83)),$O$4:O82),0))</f>
        <v/>
      </c>
      <c r="M83" s="4" t="e">
        <f t="shared" si="24"/>
        <v>#VALUE!</v>
      </c>
      <c r="N83" s="4">
        <f t="shared" si="25"/>
        <v>0</v>
      </c>
      <c r="O83" s="4" t="str">
        <f t="shared" si="26"/>
        <v/>
      </c>
      <c r="P83" s="5" t="str">
        <f t="shared" si="27"/>
        <v/>
      </c>
      <c r="Q83" s="4" t="e">
        <f t="shared" si="28"/>
        <v>#VALUE!</v>
      </c>
      <c r="R83" s="3"/>
      <c r="S83" t="str">
        <f t="shared" si="36"/>
        <v/>
      </c>
    </row>
    <row r="84" spans="1:19" x14ac:dyDescent="0.4">
      <c r="A84" s="3"/>
      <c r="B84" s="3"/>
      <c r="C84" s="3"/>
      <c r="D84" s="3"/>
      <c r="E84" s="3"/>
      <c r="F84" s="3"/>
      <c r="G84" s="3"/>
      <c r="H84" t="str">
        <f t="shared" si="33"/>
        <v/>
      </c>
      <c r="I84" s="4" t="str">
        <f t="shared" si="34"/>
        <v/>
      </c>
      <c r="J84" s="4" t="str">
        <f t="shared" si="35"/>
        <v/>
      </c>
      <c r="K84" s="5" t="str">
        <f>IF(OR(B84="",C84=""),"",SUMIFS($H$4:H83,$B$4:B83,B84,$C$4:C83,C84))</f>
        <v/>
      </c>
      <c r="L84" s="4" t="str">
        <f>IF(OR(B84="",C84=""),"",IFERROR(LOOKUP(2,1/(($B$4:B83=B84)*($C$4:C83=C84)),$O$4:O83),0))</f>
        <v/>
      </c>
      <c r="M84" s="4" t="e">
        <f t="shared" si="24"/>
        <v>#VALUE!</v>
      </c>
      <c r="N84" s="4">
        <f t="shared" si="25"/>
        <v>0</v>
      </c>
      <c r="O84" s="4" t="str">
        <f t="shared" si="26"/>
        <v/>
      </c>
      <c r="P84" s="5" t="str">
        <f t="shared" si="27"/>
        <v/>
      </c>
      <c r="Q84" s="4" t="e">
        <f t="shared" si="28"/>
        <v>#VALUE!</v>
      </c>
      <c r="R84" s="3"/>
      <c r="S84" t="str">
        <f t="shared" si="36"/>
        <v/>
      </c>
    </row>
    <row r="85" spans="1:19" x14ac:dyDescent="0.4">
      <c r="A85" s="3"/>
      <c r="B85" s="3"/>
      <c r="C85" s="3"/>
      <c r="D85" s="3"/>
      <c r="E85" s="3"/>
      <c r="F85" s="3"/>
      <c r="G85" s="3"/>
      <c r="H85" t="str">
        <f t="shared" si="33"/>
        <v/>
      </c>
      <c r="I85" s="4" t="str">
        <f t="shared" si="34"/>
        <v/>
      </c>
      <c r="J85" s="4" t="str">
        <f t="shared" si="35"/>
        <v/>
      </c>
      <c r="K85" s="5" t="str">
        <f>IF(OR(B85="",C85=""),"",SUMIFS($H$4:H84,$B$4:B84,B85,$C$4:C84,C85))</f>
        <v/>
      </c>
      <c r="L85" s="4" t="str">
        <f>IF(OR(B85="",C85=""),"",IFERROR(LOOKUP(2,1/(($B$4:B84=B85)*($C$4:C84=C85)),$O$4:O84),0))</f>
        <v/>
      </c>
      <c r="M85" s="4" t="e">
        <f t="shared" si="24"/>
        <v>#VALUE!</v>
      </c>
      <c r="N85" s="4">
        <f t="shared" si="25"/>
        <v>0</v>
      </c>
      <c r="O85" s="4" t="str">
        <f t="shared" si="26"/>
        <v/>
      </c>
      <c r="P85" s="5" t="str">
        <f t="shared" si="27"/>
        <v/>
      </c>
      <c r="Q85" s="4" t="e">
        <f t="shared" si="28"/>
        <v>#VALUE!</v>
      </c>
      <c r="R85" s="3"/>
      <c r="S85" t="str">
        <f t="shared" si="36"/>
        <v/>
      </c>
    </row>
    <row r="86" spans="1:19" x14ac:dyDescent="0.4">
      <c r="A86" s="3"/>
      <c r="B86" s="3"/>
      <c r="C86" s="3"/>
      <c r="D86" s="3"/>
      <c r="E86" s="3"/>
      <c r="F86" s="3"/>
      <c r="G86" s="3"/>
      <c r="H86" t="str">
        <f t="shared" si="33"/>
        <v/>
      </c>
      <c r="I86" s="4" t="str">
        <f t="shared" si="34"/>
        <v/>
      </c>
      <c r="J86" s="4" t="str">
        <f t="shared" si="35"/>
        <v/>
      </c>
      <c r="K86" s="5" t="str">
        <f>IF(OR(B86="",C86=""),"",SUMIFS($H$4:H85,$B$4:B85,B86,$C$4:C85,C86))</f>
        <v/>
      </c>
      <c r="L86" s="4" t="str">
        <f>IF(OR(B86="",C86=""),"",IFERROR(LOOKUP(2,1/(($B$4:B85=B86)*($C$4:C85=C86)),$O$4:O85),0))</f>
        <v/>
      </c>
      <c r="M86" s="4" t="e">
        <f t="shared" si="24"/>
        <v>#VALUE!</v>
      </c>
      <c r="N86" s="4">
        <f t="shared" si="25"/>
        <v>0</v>
      </c>
      <c r="O86" s="4" t="str">
        <f t="shared" si="26"/>
        <v/>
      </c>
      <c r="P86" s="5" t="str">
        <f t="shared" si="27"/>
        <v/>
      </c>
      <c r="Q86" s="4" t="e">
        <f t="shared" si="28"/>
        <v>#VALUE!</v>
      </c>
      <c r="R86" s="3"/>
      <c r="S86" t="str">
        <f t="shared" si="36"/>
        <v/>
      </c>
    </row>
    <row r="87" spans="1:19" x14ac:dyDescent="0.4">
      <c r="A87" s="3"/>
      <c r="B87" s="3"/>
      <c r="C87" s="3"/>
      <c r="D87" s="3"/>
      <c r="E87" s="3"/>
      <c r="F87" s="3"/>
      <c r="G87" s="3"/>
      <c r="H87" t="str">
        <f t="shared" si="33"/>
        <v/>
      </c>
      <c r="I87" s="4" t="str">
        <f t="shared" si="34"/>
        <v/>
      </c>
      <c r="J87" s="4" t="str">
        <f t="shared" si="35"/>
        <v/>
      </c>
      <c r="K87" s="5" t="str">
        <f>IF(OR(B87="",C87=""),"",SUMIFS($H$4:H86,$B$4:B86,B87,$C$4:C86,C87))</f>
        <v/>
      </c>
      <c r="L87" s="4" t="str">
        <f>IF(OR(B87="",C87=""),"",IFERROR(LOOKUP(2,1/(($B$4:B86=B87)*($C$4:C86=C87)),$O$4:O86),0))</f>
        <v/>
      </c>
      <c r="M87" s="4" t="e">
        <f t="shared" si="24"/>
        <v>#VALUE!</v>
      </c>
      <c r="N87" s="4">
        <f t="shared" si="25"/>
        <v>0</v>
      </c>
      <c r="O87" s="4" t="str">
        <f t="shared" si="26"/>
        <v/>
      </c>
      <c r="P87" s="5" t="str">
        <f t="shared" si="27"/>
        <v/>
      </c>
      <c r="Q87" s="4" t="e">
        <f t="shared" si="28"/>
        <v>#VALUE!</v>
      </c>
      <c r="R87" s="3"/>
      <c r="S87" t="str">
        <f t="shared" si="36"/>
        <v/>
      </c>
    </row>
    <row r="88" spans="1:19" x14ac:dyDescent="0.4">
      <c r="A88" s="3"/>
      <c r="B88" s="3"/>
      <c r="C88" s="3"/>
      <c r="D88" s="3"/>
      <c r="E88" s="3"/>
      <c r="F88" s="3"/>
      <c r="G88" s="3"/>
      <c r="H88" t="str">
        <f t="shared" si="33"/>
        <v/>
      </c>
      <c r="I88" s="4" t="str">
        <f t="shared" si="34"/>
        <v/>
      </c>
      <c r="J88" s="4" t="str">
        <f t="shared" si="35"/>
        <v/>
      </c>
      <c r="K88" s="5" t="str">
        <f>IF(OR(B88="",C88=""),"",SUMIFS($H$4:H87,$B$4:B87,B88,$C$4:C87,C88))</f>
        <v/>
      </c>
      <c r="L88" s="4" t="str">
        <f>IF(OR(B88="",C88=""),"",IFERROR(LOOKUP(2,1/(($B$4:B87=B88)*($C$4:C87=C88)),$O$4:O87),0))</f>
        <v/>
      </c>
      <c r="M88" s="4" t="e">
        <f t="shared" si="24"/>
        <v>#VALUE!</v>
      </c>
      <c r="N88" s="4">
        <f t="shared" si="25"/>
        <v>0</v>
      </c>
      <c r="O88" s="4" t="str">
        <f t="shared" si="26"/>
        <v/>
      </c>
      <c r="P88" s="5" t="str">
        <f t="shared" si="27"/>
        <v/>
      </c>
      <c r="Q88" s="4" t="e">
        <f t="shared" si="28"/>
        <v>#VALUE!</v>
      </c>
      <c r="R88" s="3"/>
      <c r="S88" t="str">
        <f t="shared" si="36"/>
        <v/>
      </c>
    </row>
    <row r="89" spans="1:19" x14ac:dyDescent="0.4">
      <c r="A89" s="3"/>
      <c r="B89" s="3"/>
      <c r="C89" s="3"/>
      <c r="D89" s="3"/>
      <c r="E89" s="3"/>
      <c r="F89" s="3"/>
      <c r="G89" s="3"/>
      <c r="H89" t="str">
        <f t="shared" si="33"/>
        <v/>
      </c>
      <c r="I89" s="4" t="str">
        <f t="shared" si="34"/>
        <v/>
      </c>
      <c r="J89" s="4" t="str">
        <f t="shared" si="35"/>
        <v/>
      </c>
      <c r="K89" s="5" t="str">
        <f>IF(OR(B89="",C89=""),"",SUMIFS($H$4:H88,$B$4:B88,B89,$C$4:C88,C89))</f>
        <v/>
      </c>
      <c r="L89" s="4" t="str">
        <f>IF(OR(B89="",C89=""),"",IFERROR(LOOKUP(2,1/(($B$4:B88=B89)*($C$4:C88=C89)),$O$4:O88),0))</f>
        <v/>
      </c>
      <c r="M89" s="4" t="e">
        <f t="shared" si="24"/>
        <v>#VALUE!</v>
      </c>
      <c r="N89" s="4">
        <f t="shared" si="25"/>
        <v>0</v>
      </c>
      <c r="O89" s="4" t="str">
        <f t="shared" si="26"/>
        <v/>
      </c>
      <c r="P89" s="5" t="str">
        <f t="shared" si="27"/>
        <v/>
      </c>
      <c r="Q89" s="4" t="e">
        <f t="shared" si="28"/>
        <v>#VALUE!</v>
      </c>
      <c r="R89" s="3"/>
      <c r="S89" t="str">
        <f t="shared" si="36"/>
        <v/>
      </c>
    </row>
    <row r="90" spans="1:19" x14ac:dyDescent="0.4">
      <c r="A90" s="3"/>
      <c r="B90" s="3"/>
      <c r="C90" s="3"/>
      <c r="D90" s="3"/>
      <c r="E90" s="3"/>
      <c r="F90" s="3"/>
      <c r="G90" s="3"/>
      <c r="H90" t="str">
        <f t="shared" si="33"/>
        <v/>
      </c>
      <c r="I90" s="4" t="str">
        <f t="shared" si="34"/>
        <v/>
      </c>
      <c r="J90" s="4" t="str">
        <f t="shared" si="35"/>
        <v/>
      </c>
      <c r="K90" s="5" t="str">
        <f>IF(OR(B90="",C90=""),"",SUMIFS($H$4:H89,$B$4:B89,B90,$C$4:C89,C90))</f>
        <v/>
      </c>
      <c r="L90" s="4" t="str">
        <f>IF(OR(B90="",C90=""),"",IFERROR(LOOKUP(2,1/(($B$4:B89=B90)*($C$4:C89=C90)),$O$4:O89),0))</f>
        <v/>
      </c>
      <c r="M90" s="4" t="e">
        <f t="shared" si="24"/>
        <v>#VALUE!</v>
      </c>
      <c r="N90" s="4">
        <f t="shared" si="25"/>
        <v>0</v>
      </c>
      <c r="O90" s="4" t="str">
        <f t="shared" si="26"/>
        <v/>
      </c>
      <c r="P90" s="5" t="str">
        <f t="shared" si="27"/>
        <v/>
      </c>
      <c r="Q90" s="4" t="e">
        <f t="shared" si="28"/>
        <v>#VALUE!</v>
      </c>
      <c r="R90" s="3"/>
      <c r="S90" t="str">
        <f t="shared" si="36"/>
        <v/>
      </c>
    </row>
    <row r="91" spans="1:19" x14ac:dyDescent="0.4">
      <c r="A91" s="3"/>
      <c r="B91" s="3"/>
      <c r="C91" s="3"/>
      <c r="D91" s="3"/>
      <c r="E91" s="3"/>
      <c r="F91" s="3"/>
      <c r="G91" s="3"/>
      <c r="H91" t="str">
        <f t="shared" si="33"/>
        <v/>
      </c>
      <c r="I91" s="4" t="str">
        <f t="shared" si="34"/>
        <v/>
      </c>
      <c r="J91" s="4" t="str">
        <f t="shared" si="35"/>
        <v/>
      </c>
      <c r="K91" s="5" t="str">
        <f>IF(OR(B91="",C91=""),"",SUMIFS($H$4:H90,$B$4:B90,B91,$C$4:C90,C91))</f>
        <v/>
      </c>
      <c r="L91" s="4" t="str">
        <f>IF(OR(B91="",C91=""),"",IFERROR(LOOKUP(2,1/(($B$4:B90=B91)*($C$4:C90=C91)),$O$4:O90),0))</f>
        <v/>
      </c>
      <c r="M91" s="4" t="e">
        <f t="shared" si="24"/>
        <v>#VALUE!</v>
      </c>
      <c r="N91" s="4">
        <f t="shared" si="25"/>
        <v>0</v>
      </c>
      <c r="O91" s="4" t="str">
        <f t="shared" si="26"/>
        <v/>
      </c>
      <c r="P91" s="5" t="str">
        <f t="shared" si="27"/>
        <v/>
      </c>
      <c r="Q91" s="4" t="e">
        <f t="shared" si="28"/>
        <v>#VALUE!</v>
      </c>
      <c r="R91" s="3"/>
      <c r="S91" t="str">
        <f t="shared" si="36"/>
        <v/>
      </c>
    </row>
    <row r="92" spans="1:19" x14ac:dyDescent="0.4">
      <c r="A92" s="3"/>
      <c r="B92" s="3"/>
      <c r="C92" s="3"/>
      <c r="D92" s="3"/>
      <c r="E92" s="3"/>
      <c r="F92" s="3"/>
      <c r="G92" s="3"/>
      <c r="H92" t="str">
        <f t="shared" si="33"/>
        <v/>
      </c>
      <c r="I92" s="4" t="str">
        <f t="shared" si="34"/>
        <v/>
      </c>
      <c r="J92" s="4" t="str">
        <f t="shared" si="35"/>
        <v/>
      </c>
      <c r="K92" s="5" t="str">
        <f>IF(OR(B92="",C92=""),"",SUMIFS($H$4:H91,$B$4:B91,B92,$C$4:C91,C92))</f>
        <v/>
      </c>
      <c r="L92" s="4" t="str">
        <f>IF(OR(B92="",C92=""),"",IFERROR(LOOKUP(2,1/(($B$4:B91=B92)*($C$4:C91=C92)),$O$4:O91),0))</f>
        <v/>
      </c>
      <c r="M92" s="4" t="e">
        <f t="shared" si="24"/>
        <v>#VALUE!</v>
      </c>
      <c r="N92" s="4">
        <f t="shared" si="25"/>
        <v>0</v>
      </c>
      <c r="O92" s="4" t="str">
        <f t="shared" si="26"/>
        <v/>
      </c>
      <c r="P92" s="5" t="str">
        <f t="shared" si="27"/>
        <v/>
      </c>
      <c r="Q92" s="4" t="e">
        <f t="shared" si="28"/>
        <v>#VALUE!</v>
      </c>
      <c r="R92" s="3"/>
      <c r="S92" t="str">
        <f t="shared" si="36"/>
        <v/>
      </c>
    </row>
    <row r="93" spans="1:19" x14ac:dyDescent="0.4">
      <c r="A93" s="3"/>
      <c r="B93" s="3"/>
      <c r="C93" s="3"/>
      <c r="D93" s="3"/>
      <c r="E93" s="3"/>
      <c r="F93" s="3"/>
      <c r="G93" s="3"/>
      <c r="H93" t="str">
        <f t="shared" si="33"/>
        <v/>
      </c>
      <c r="I93" s="4" t="str">
        <f t="shared" si="34"/>
        <v/>
      </c>
      <c r="J93" s="4" t="str">
        <f t="shared" si="35"/>
        <v/>
      </c>
      <c r="K93" s="5" t="str">
        <f>IF(OR(B93="",C93=""),"",SUMIFS($H$4:H92,$B$4:B92,B93,$C$4:C92,C93))</f>
        <v/>
      </c>
      <c r="L93" s="4" t="str">
        <f>IF(OR(B93="",C93=""),"",IFERROR(LOOKUP(2,1/(($B$4:B92=B93)*($C$4:C92=C93)),$O$4:O92),0))</f>
        <v/>
      </c>
      <c r="M93" s="4" t="e">
        <f t="shared" si="24"/>
        <v>#VALUE!</v>
      </c>
      <c r="N93" s="4">
        <f t="shared" si="25"/>
        <v>0</v>
      </c>
      <c r="O93" s="4" t="str">
        <f t="shared" si="26"/>
        <v/>
      </c>
      <c r="P93" s="5" t="str">
        <f t="shared" si="27"/>
        <v/>
      </c>
      <c r="Q93" s="4" t="e">
        <f t="shared" si="28"/>
        <v>#VALUE!</v>
      </c>
      <c r="R93" s="3"/>
      <c r="S93" t="str">
        <f t="shared" si="36"/>
        <v/>
      </c>
    </row>
    <row r="94" spans="1:19" x14ac:dyDescent="0.4">
      <c r="A94" s="3"/>
      <c r="B94" s="3"/>
      <c r="C94" s="3"/>
      <c r="D94" s="3"/>
      <c r="E94" s="3"/>
      <c r="F94" s="3"/>
      <c r="G94" s="3"/>
      <c r="H94" t="str">
        <f t="shared" si="33"/>
        <v/>
      </c>
      <c r="I94" s="4" t="str">
        <f t="shared" si="34"/>
        <v/>
      </c>
      <c r="J94" s="4" t="str">
        <f t="shared" si="35"/>
        <v/>
      </c>
      <c r="K94" s="5" t="str">
        <f>IF(OR(B94="",C94=""),"",SUMIFS($H$4:H93,$B$4:B93,B94,$C$4:C93,C94))</f>
        <v/>
      </c>
      <c r="L94" s="4" t="str">
        <f>IF(OR(B94="",C94=""),"",IFERROR(LOOKUP(2,1/(($B$4:B93=B94)*($C$4:C93=C94)),$O$4:O93),0))</f>
        <v/>
      </c>
      <c r="M94" s="4" t="e">
        <f t="shared" si="24"/>
        <v>#VALUE!</v>
      </c>
      <c r="N94" s="4">
        <f t="shared" si="25"/>
        <v>0</v>
      </c>
      <c r="O94" s="4" t="str">
        <f t="shared" si="26"/>
        <v/>
      </c>
      <c r="P94" s="5" t="str">
        <f t="shared" si="27"/>
        <v/>
      </c>
      <c r="Q94" s="4" t="e">
        <f t="shared" si="28"/>
        <v>#VALUE!</v>
      </c>
      <c r="R94" s="3"/>
      <c r="S94" t="str">
        <f t="shared" si="36"/>
        <v/>
      </c>
    </row>
    <row r="95" spans="1:19" x14ac:dyDescent="0.4">
      <c r="A95" s="3"/>
      <c r="B95" s="3"/>
      <c r="C95" s="3"/>
      <c r="D95" s="3"/>
      <c r="E95" s="3"/>
      <c r="F95" s="3"/>
      <c r="G95" s="3"/>
      <c r="H95" t="str">
        <f t="shared" si="33"/>
        <v/>
      </c>
      <c r="I95" s="4" t="str">
        <f t="shared" si="34"/>
        <v/>
      </c>
      <c r="J95" s="4" t="str">
        <f t="shared" si="35"/>
        <v/>
      </c>
      <c r="K95" s="5" t="str">
        <f>IF(OR(B95="",C95=""),"",SUMIFS($H$4:H94,$B$4:B94,B95,$C$4:C94,C95))</f>
        <v/>
      </c>
      <c r="L95" s="4" t="str">
        <f>IF(OR(B95="",C95=""),"",IFERROR(LOOKUP(2,1/(($B$4:B94=B95)*($C$4:C94=C95)),$O$4:O94),0))</f>
        <v/>
      </c>
      <c r="M95" s="4" t="e">
        <f t="shared" si="24"/>
        <v>#VALUE!</v>
      </c>
      <c r="N95" s="4">
        <f t="shared" si="25"/>
        <v>0</v>
      </c>
      <c r="O95" s="4" t="str">
        <f t="shared" si="26"/>
        <v/>
      </c>
      <c r="P95" s="5" t="str">
        <f t="shared" si="27"/>
        <v/>
      </c>
      <c r="Q95" s="4" t="e">
        <f t="shared" si="28"/>
        <v>#VALUE!</v>
      </c>
      <c r="R95" s="3"/>
      <c r="S95" t="str">
        <f t="shared" si="36"/>
        <v/>
      </c>
    </row>
    <row r="96" spans="1:19" x14ac:dyDescent="0.4">
      <c r="A96" s="3"/>
      <c r="B96" s="3"/>
      <c r="C96" s="3"/>
      <c r="D96" s="3"/>
      <c r="E96" s="3"/>
      <c r="F96" s="3"/>
      <c r="G96" s="3"/>
      <c r="H96" t="str">
        <f t="shared" si="33"/>
        <v/>
      </c>
      <c r="I96" s="4" t="str">
        <f t="shared" si="34"/>
        <v/>
      </c>
      <c r="J96" s="4" t="str">
        <f t="shared" si="35"/>
        <v/>
      </c>
      <c r="K96" s="5" t="str">
        <f>IF(OR(B96="",C96=""),"",SUMIFS($H$4:H95,$B$4:B95,B96,$C$4:C95,C96))</f>
        <v/>
      </c>
      <c r="L96" s="4" t="str">
        <f>IF(OR(B96="",C96=""),"",IFERROR(LOOKUP(2,1/(($B$4:B95=B96)*($C$4:C95=C96)),$O$4:O95),0))</f>
        <v/>
      </c>
      <c r="M96" s="4" t="e">
        <f t="shared" si="24"/>
        <v>#VALUE!</v>
      </c>
      <c r="N96" s="4">
        <f t="shared" si="25"/>
        <v>0</v>
      </c>
      <c r="O96" s="4" t="str">
        <f t="shared" si="26"/>
        <v/>
      </c>
      <c r="P96" s="5" t="str">
        <f t="shared" si="27"/>
        <v/>
      </c>
      <c r="Q96" s="4" t="e">
        <f t="shared" si="28"/>
        <v>#VALUE!</v>
      </c>
      <c r="R96" s="3"/>
      <c r="S96" t="str">
        <f t="shared" si="36"/>
        <v/>
      </c>
    </row>
    <row r="97" spans="1:19" x14ac:dyDescent="0.4">
      <c r="A97" s="3"/>
      <c r="B97" s="3"/>
      <c r="C97" s="3"/>
      <c r="D97" s="3"/>
      <c r="E97" s="3"/>
      <c r="F97" s="3"/>
      <c r="G97" s="3"/>
      <c r="H97" t="str">
        <f t="shared" si="33"/>
        <v/>
      </c>
      <c r="I97" s="4" t="str">
        <f t="shared" si="34"/>
        <v/>
      </c>
      <c r="J97" s="4" t="str">
        <f t="shared" si="35"/>
        <v/>
      </c>
      <c r="K97" s="5" t="str">
        <f>IF(OR(B97="",C97=""),"",SUMIFS($H$4:H96,$B$4:B96,B97,$C$4:C96,C97))</f>
        <v/>
      </c>
      <c r="L97" s="4" t="str">
        <f>IF(OR(B97="",C97=""),"",IFERROR(LOOKUP(2,1/(($B$4:B96=B97)*($C$4:C96=C97)),$O$4:O96),0))</f>
        <v/>
      </c>
      <c r="M97" s="4" t="e">
        <f t="shared" si="24"/>
        <v>#VALUE!</v>
      </c>
      <c r="N97" s="4">
        <f t="shared" si="25"/>
        <v>0</v>
      </c>
      <c r="O97" s="4" t="str">
        <f t="shared" si="26"/>
        <v/>
      </c>
      <c r="P97" s="5" t="str">
        <f t="shared" si="27"/>
        <v/>
      </c>
      <c r="Q97" s="4" t="e">
        <f t="shared" si="28"/>
        <v>#VALUE!</v>
      </c>
      <c r="R97" s="3"/>
      <c r="S97" t="str">
        <f t="shared" si="36"/>
        <v/>
      </c>
    </row>
    <row r="98" spans="1:19" x14ac:dyDescent="0.4">
      <c r="A98" s="3"/>
      <c r="B98" s="3"/>
      <c r="C98" s="3"/>
      <c r="D98" s="3"/>
      <c r="E98" s="3"/>
      <c r="F98" s="3"/>
      <c r="G98" s="3"/>
      <c r="H98" t="str">
        <f t="shared" si="33"/>
        <v/>
      </c>
      <c r="I98" s="4" t="str">
        <f t="shared" si="34"/>
        <v/>
      </c>
      <c r="J98" s="4" t="str">
        <f t="shared" si="35"/>
        <v/>
      </c>
      <c r="K98" s="5" t="str">
        <f>IF(OR(B98="",C98=""),"",SUMIFS($H$4:H97,$B$4:B97,B98,$C$4:C97,C98))</f>
        <v/>
      </c>
      <c r="L98" s="4" t="str">
        <f>IF(OR(B98="",C98=""),"",IFERROR(LOOKUP(2,1/(($B$4:B97=B98)*($C$4:C97=C98)),$O$4:O97),0))</f>
        <v/>
      </c>
      <c r="M98" s="4" t="e">
        <f t="shared" si="24"/>
        <v>#VALUE!</v>
      </c>
      <c r="N98" s="4">
        <f t="shared" si="25"/>
        <v>0</v>
      </c>
      <c r="O98" s="4" t="str">
        <f t="shared" si="26"/>
        <v/>
      </c>
      <c r="P98" s="5" t="str">
        <f t="shared" si="27"/>
        <v/>
      </c>
      <c r="Q98" s="4" t="e">
        <f t="shared" si="28"/>
        <v>#VALUE!</v>
      </c>
      <c r="R98" s="3"/>
      <c r="S98" t="str">
        <f t="shared" si="36"/>
        <v/>
      </c>
    </row>
    <row r="99" spans="1:19" x14ac:dyDescent="0.4">
      <c r="A99" s="3"/>
      <c r="B99" s="3"/>
      <c r="C99" s="3"/>
      <c r="D99" s="3"/>
      <c r="E99" s="3"/>
      <c r="F99" s="3"/>
      <c r="G99" s="3"/>
      <c r="H99" t="str">
        <f t="shared" si="33"/>
        <v/>
      </c>
      <c r="I99" s="4" t="str">
        <f t="shared" si="34"/>
        <v/>
      </c>
      <c r="J99" s="4" t="str">
        <f t="shared" si="35"/>
        <v/>
      </c>
      <c r="K99" s="5" t="str">
        <f>IF(OR(B99="",C99=""),"",SUMIFS($H$4:H98,$B$4:B98,B99,$C$4:C98,C99))</f>
        <v/>
      </c>
      <c r="L99" s="4" t="str">
        <f>IF(OR(B99="",C99=""),"",IFERROR(LOOKUP(2,1/(($B$4:B98=B99)*($C$4:C98=C99)),$O$4:O98),0))</f>
        <v/>
      </c>
      <c r="M99" s="4" t="e">
        <f t="shared" si="24"/>
        <v>#VALUE!</v>
      </c>
      <c r="N99" s="4">
        <f t="shared" si="25"/>
        <v>0</v>
      </c>
      <c r="O99" s="4" t="str">
        <f t="shared" si="26"/>
        <v/>
      </c>
      <c r="P99" s="5" t="str">
        <f t="shared" si="27"/>
        <v/>
      </c>
      <c r="Q99" s="4" t="e">
        <f t="shared" si="28"/>
        <v>#VALUE!</v>
      </c>
      <c r="R99" s="3"/>
      <c r="S99" t="str">
        <f t="shared" si="36"/>
        <v/>
      </c>
    </row>
    <row r="100" spans="1:19" x14ac:dyDescent="0.4">
      <c r="A100" s="3"/>
      <c r="B100" s="3"/>
      <c r="C100" s="3"/>
      <c r="D100" s="3"/>
      <c r="E100" s="3"/>
      <c r="F100" s="3"/>
      <c r="G100" s="3"/>
      <c r="H100" t="str">
        <f t="shared" si="33"/>
        <v/>
      </c>
      <c r="I100" s="4" t="str">
        <f t="shared" si="34"/>
        <v/>
      </c>
      <c r="J100" s="4" t="str">
        <f t="shared" si="35"/>
        <v/>
      </c>
      <c r="K100" s="5" t="str">
        <f>IF(OR(B100="",C100=""),"",SUMIFS($H$4:H99,$B$4:B99,B100,$C$4:C99,C100))</f>
        <v/>
      </c>
      <c r="L100" s="4" t="str">
        <f>IF(OR(B100="",C100=""),"",IFERROR(LOOKUP(2,1/(($B$4:B99=B100)*($C$4:C99=C100)),$O$4:O99),0))</f>
        <v/>
      </c>
      <c r="M100" s="4" t="e">
        <f t="shared" si="24"/>
        <v>#VALUE!</v>
      </c>
      <c r="N100" s="4">
        <f t="shared" si="25"/>
        <v>0</v>
      </c>
      <c r="O100" s="4" t="str">
        <f t="shared" si="26"/>
        <v/>
      </c>
      <c r="P100" s="5" t="str">
        <f t="shared" si="27"/>
        <v/>
      </c>
      <c r="Q100" s="4" t="e">
        <f t="shared" si="28"/>
        <v>#VALUE!</v>
      </c>
      <c r="R100" s="3"/>
      <c r="S100" t="str">
        <f t="shared" si="36"/>
        <v/>
      </c>
    </row>
    <row r="101" spans="1:19" x14ac:dyDescent="0.4">
      <c r="A101" s="3"/>
      <c r="B101" s="3"/>
      <c r="C101" s="3"/>
      <c r="D101" s="3"/>
      <c r="E101" s="3"/>
      <c r="F101" s="3"/>
      <c r="G101" s="3"/>
      <c r="H101" t="str">
        <f t="shared" si="33"/>
        <v/>
      </c>
      <c r="I101" s="4" t="str">
        <f t="shared" si="34"/>
        <v/>
      </c>
      <c r="J101" s="4" t="str">
        <f t="shared" si="35"/>
        <v/>
      </c>
      <c r="K101" s="5" t="str">
        <f>IF(OR(B101="",C101=""),"",SUMIFS($H$4:H100,$B$4:B100,B101,$C$4:C100,C101))</f>
        <v/>
      </c>
      <c r="L101" s="4" t="str">
        <f>IF(OR(B101="",C101=""),"",IFERROR(LOOKUP(2,1/(($B$4:B100=B101)*($C$4:C100=C101)),$O$4:O100),0))</f>
        <v/>
      </c>
      <c r="M101" s="4" t="e">
        <f t="shared" ref="M101:M164" si="37">IF(K101=0,0,L101/K101)</f>
        <v>#VALUE!</v>
      </c>
      <c r="N101" s="4">
        <f t="shared" ref="N101:N164" si="38">IF(H101&lt;0,ABS(H101)*(F101-M101)-G101,0)</f>
        <v>0</v>
      </c>
      <c r="O101" s="4" t="str">
        <f t="shared" ref="O101:O164" si="39">IF(H101="","",IF(H101&gt;0,L101+I101+G101,MAX(0,L101-ABS(H101)*M101)))</f>
        <v/>
      </c>
      <c r="P101" s="5" t="str">
        <f t="shared" ref="P101:P164" si="40">IF(H101="","",K101+H101)</f>
        <v/>
      </c>
      <c r="Q101" s="4" t="e">
        <f t="shared" ref="Q101:Q164" si="41">IF(P101=0,0,O101/P101)</f>
        <v>#VALUE!</v>
      </c>
      <c r="R101" s="3"/>
      <c r="S101" t="str">
        <f t="shared" si="36"/>
        <v/>
      </c>
    </row>
    <row r="102" spans="1:19" x14ac:dyDescent="0.4">
      <c r="A102" s="3"/>
      <c r="B102" s="3"/>
      <c r="C102" s="3"/>
      <c r="D102" s="3"/>
      <c r="E102" s="3"/>
      <c r="F102" s="3"/>
      <c r="G102" s="3"/>
      <c r="H102" t="str">
        <f t="shared" si="33"/>
        <v/>
      </c>
      <c r="I102" s="4" t="str">
        <f t="shared" si="34"/>
        <v/>
      </c>
      <c r="J102" s="4" t="str">
        <f t="shared" si="35"/>
        <v/>
      </c>
      <c r="K102" s="5" t="str">
        <f>IF(OR(B102="",C102=""),"",SUMIFS($H$4:H101,$B$4:B101,B102,$C$4:C101,C102))</f>
        <v/>
      </c>
      <c r="L102" s="4" t="str">
        <f>IF(OR(B102="",C102=""),"",IFERROR(LOOKUP(2,1/(($B$4:B101=B102)*($C$4:C101=C102)),$O$4:O101),0))</f>
        <v/>
      </c>
      <c r="M102" s="4" t="e">
        <f t="shared" si="37"/>
        <v>#VALUE!</v>
      </c>
      <c r="N102" s="4">
        <f t="shared" si="38"/>
        <v>0</v>
      </c>
      <c r="O102" s="4" t="str">
        <f t="shared" si="39"/>
        <v/>
      </c>
      <c r="P102" s="5" t="str">
        <f t="shared" si="40"/>
        <v/>
      </c>
      <c r="Q102" s="4" t="e">
        <f t="shared" si="41"/>
        <v>#VALUE!</v>
      </c>
      <c r="R102" s="3"/>
      <c r="S102" t="str">
        <f t="shared" si="36"/>
        <v/>
      </c>
    </row>
    <row r="103" spans="1:19" x14ac:dyDescent="0.4">
      <c r="A103" s="3"/>
      <c r="B103" s="3"/>
      <c r="C103" s="3"/>
      <c r="D103" s="3"/>
      <c r="E103" s="3"/>
      <c r="F103" s="3"/>
      <c r="G103" s="3"/>
      <c r="H103" t="str">
        <f t="shared" ref="H103:H134" si="42">IF(OR(D103="",E103=""),"",IF(D103="BUY",E103,-E103))</f>
        <v/>
      </c>
      <c r="I103" s="4" t="str">
        <f t="shared" ref="I103:I134" si="43">IF(H103="","",ABS(H103)*F103)</f>
        <v/>
      </c>
      <c r="J103" s="4" t="str">
        <f t="shared" ref="J103:J134" si="44">IF(H103="","",-H103*F103-G103)</f>
        <v/>
      </c>
      <c r="K103" s="5" t="str">
        <f>IF(OR(B103="",C103=""),"",SUMIFS($H$4:H102,$B$4:B102,B103,$C$4:C102,C103))</f>
        <v/>
      </c>
      <c r="L103" s="4" t="str">
        <f>IF(OR(B103="",C103=""),"",IFERROR(LOOKUP(2,1/(($B$4:B102=B103)*($C$4:C102=C103)),$O$4:O102),0))</f>
        <v/>
      </c>
      <c r="M103" s="4" t="e">
        <f t="shared" si="37"/>
        <v>#VALUE!</v>
      </c>
      <c r="N103" s="4">
        <f t="shared" si="38"/>
        <v>0</v>
      </c>
      <c r="O103" s="4" t="str">
        <f t="shared" si="39"/>
        <v/>
      </c>
      <c r="P103" s="5" t="str">
        <f t="shared" si="40"/>
        <v/>
      </c>
      <c r="Q103" s="4" t="e">
        <f t="shared" si="41"/>
        <v>#VALUE!</v>
      </c>
      <c r="R103" s="3"/>
      <c r="S103" t="str">
        <f t="shared" ref="S103:S134" si="45">IF(H103="","",IF(P103&lt;0,"ERROR: Over-sold",IF(AND(H103&lt;0,K103=0),"ERROR: Sell w/o position","")))</f>
        <v/>
      </c>
    </row>
    <row r="104" spans="1:19" x14ac:dyDescent="0.4">
      <c r="A104" s="3"/>
      <c r="B104" s="3"/>
      <c r="C104" s="3"/>
      <c r="D104" s="3"/>
      <c r="E104" s="3"/>
      <c r="F104" s="3"/>
      <c r="G104" s="3"/>
      <c r="H104" t="str">
        <f t="shared" si="42"/>
        <v/>
      </c>
      <c r="I104" s="4" t="str">
        <f t="shared" si="43"/>
        <v/>
      </c>
      <c r="J104" s="4" t="str">
        <f t="shared" si="44"/>
        <v/>
      </c>
      <c r="K104" s="5" t="str">
        <f>IF(OR(B104="",C104=""),"",SUMIFS($H$4:H103,$B$4:B103,B104,$C$4:C103,C104))</f>
        <v/>
      </c>
      <c r="L104" s="4" t="str">
        <f>IF(OR(B104="",C104=""),"",IFERROR(LOOKUP(2,1/(($B$4:B103=B104)*($C$4:C103=C104)),$O$4:O103),0))</f>
        <v/>
      </c>
      <c r="M104" s="4" t="e">
        <f t="shared" si="37"/>
        <v>#VALUE!</v>
      </c>
      <c r="N104" s="4">
        <f t="shared" si="38"/>
        <v>0</v>
      </c>
      <c r="O104" s="4" t="str">
        <f t="shared" si="39"/>
        <v/>
      </c>
      <c r="P104" s="5" t="str">
        <f t="shared" si="40"/>
        <v/>
      </c>
      <c r="Q104" s="4" t="e">
        <f t="shared" si="41"/>
        <v>#VALUE!</v>
      </c>
      <c r="R104" s="3"/>
      <c r="S104" t="str">
        <f t="shared" si="45"/>
        <v/>
      </c>
    </row>
    <row r="105" spans="1:19" x14ac:dyDescent="0.4">
      <c r="A105" s="3"/>
      <c r="B105" s="3"/>
      <c r="C105" s="3"/>
      <c r="D105" s="3"/>
      <c r="E105" s="3"/>
      <c r="F105" s="3"/>
      <c r="G105" s="3"/>
      <c r="H105" t="str">
        <f t="shared" si="42"/>
        <v/>
      </c>
      <c r="I105" s="4" t="str">
        <f t="shared" si="43"/>
        <v/>
      </c>
      <c r="J105" s="4" t="str">
        <f t="shared" si="44"/>
        <v/>
      </c>
      <c r="K105" s="5" t="str">
        <f>IF(OR(B105="",C105=""),"",SUMIFS($H$4:H104,$B$4:B104,B105,$C$4:C104,C105))</f>
        <v/>
      </c>
      <c r="L105" s="4" t="str">
        <f>IF(OR(B105="",C105=""),"",IFERROR(LOOKUP(2,1/(($B$4:B104=B105)*($C$4:C104=C105)),$O$4:O104),0))</f>
        <v/>
      </c>
      <c r="M105" s="4" t="e">
        <f t="shared" si="37"/>
        <v>#VALUE!</v>
      </c>
      <c r="N105" s="4">
        <f t="shared" si="38"/>
        <v>0</v>
      </c>
      <c r="O105" s="4" t="str">
        <f t="shared" si="39"/>
        <v/>
      </c>
      <c r="P105" s="5" t="str">
        <f t="shared" si="40"/>
        <v/>
      </c>
      <c r="Q105" s="4" t="e">
        <f t="shared" si="41"/>
        <v>#VALUE!</v>
      </c>
      <c r="R105" s="3"/>
      <c r="S105" t="str">
        <f t="shared" si="45"/>
        <v/>
      </c>
    </row>
    <row r="106" spans="1:19" x14ac:dyDescent="0.4">
      <c r="A106" s="3"/>
      <c r="B106" s="3"/>
      <c r="C106" s="3"/>
      <c r="D106" s="3"/>
      <c r="E106" s="3"/>
      <c r="F106" s="3"/>
      <c r="G106" s="3"/>
      <c r="H106" t="str">
        <f t="shared" si="42"/>
        <v/>
      </c>
      <c r="I106" s="4" t="str">
        <f t="shared" si="43"/>
        <v/>
      </c>
      <c r="J106" s="4" t="str">
        <f t="shared" si="44"/>
        <v/>
      </c>
      <c r="K106" s="5" t="str">
        <f>IF(OR(B106="",C106=""),"",SUMIFS($H$4:H105,$B$4:B105,B106,$C$4:C105,C106))</f>
        <v/>
      </c>
      <c r="L106" s="4" t="str">
        <f>IF(OR(B106="",C106=""),"",IFERROR(LOOKUP(2,1/(($B$4:B105=B106)*($C$4:C105=C106)),$O$4:O105),0))</f>
        <v/>
      </c>
      <c r="M106" s="4" t="e">
        <f t="shared" si="37"/>
        <v>#VALUE!</v>
      </c>
      <c r="N106" s="4">
        <f t="shared" si="38"/>
        <v>0</v>
      </c>
      <c r="O106" s="4" t="str">
        <f t="shared" si="39"/>
        <v/>
      </c>
      <c r="P106" s="5" t="str">
        <f t="shared" si="40"/>
        <v/>
      </c>
      <c r="Q106" s="4" t="e">
        <f t="shared" si="41"/>
        <v>#VALUE!</v>
      </c>
      <c r="R106" s="3"/>
      <c r="S106" t="str">
        <f t="shared" si="45"/>
        <v/>
      </c>
    </row>
    <row r="107" spans="1:19" x14ac:dyDescent="0.4">
      <c r="A107" s="3"/>
      <c r="B107" s="3"/>
      <c r="C107" s="3"/>
      <c r="D107" s="3"/>
      <c r="E107" s="3"/>
      <c r="F107" s="3"/>
      <c r="G107" s="3"/>
      <c r="H107" t="str">
        <f t="shared" si="42"/>
        <v/>
      </c>
      <c r="I107" s="4" t="str">
        <f t="shared" si="43"/>
        <v/>
      </c>
      <c r="J107" s="4" t="str">
        <f t="shared" si="44"/>
        <v/>
      </c>
      <c r="K107" s="5" t="str">
        <f>IF(OR(B107="",C107=""),"",SUMIFS($H$4:H106,$B$4:B106,B107,$C$4:C106,C107))</f>
        <v/>
      </c>
      <c r="L107" s="4" t="str">
        <f>IF(OR(B107="",C107=""),"",IFERROR(LOOKUP(2,1/(($B$4:B106=B107)*($C$4:C106=C107)),$O$4:O106),0))</f>
        <v/>
      </c>
      <c r="M107" s="4" t="e">
        <f t="shared" si="37"/>
        <v>#VALUE!</v>
      </c>
      <c r="N107" s="4">
        <f t="shared" si="38"/>
        <v>0</v>
      </c>
      <c r="O107" s="4" t="str">
        <f t="shared" si="39"/>
        <v/>
      </c>
      <c r="P107" s="5" t="str">
        <f t="shared" si="40"/>
        <v/>
      </c>
      <c r="Q107" s="4" t="e">
        <f t="shared" si="41"/>
        <v>#VALUE!</v>
      </c>
      <c r="R107" s="3"/>
      <c r="S107" t="str">
        <f t="shared" si="45"/>
        <v/>
      </c>
    </row>
    <row r="108" spans="1:19" x14ac:dyDescent="0.4">
      <c r="A108" s="3"/>
      <c r="B108" s="3"/>
      <c r="C108" s="3"/>
      <c r="D108" s="3"/>
      <c r="E108" s="3"/>
      <c r="F108" s="3"/>
      <c r="G108" s="3"/>
      <c r="H108" t="str">
        <f t="shared" si="42"/>
        <v/>
      </c>
      <c r="I108" s="4" t="str">
        <f t="shared" si="43"/>
        <v/>
      </c>
      <c r="J108" s="4" t="str">
        <f t="shared" si="44"/>
        <v/>
      </c>
      <c r="K108" s="5" t="str">
        <f>IF(OR(B108="",C108=""),"",SUMIFS($H$4:H107,$B$4:B107,B108,$C$4:C107,C108))</f>
        <v/>
      </c>
      <c r="L108" s="4" t="str">
        <f>IF(OR(B108="",C108=""),"",IFERROR(LOOKUP(2,1/(($B$4:B107=B108)*($C$4:C107=C108)),$O$4:O107),0))</f>
        <v/>
      </c>
      <c r="M108" s="4" t="e">
        <f t="shared" si="37"/>
        <v>#VALUE!</v>
      </c>
      <c r="N108" s="4">
        <f t="shared" si="38"/>
        <v>0</v>
      </c>
      <c r="O108" s="4" t="str">
        <f t="shared" si="39"/>
        <v/>
      </c>
      <c r="P108" s="5" t="str">
        <f t="shared" si="40"/>
        <v/>
      </c>
      <c r="Q108" s="4" t="e">
        <f t="shared" si="41"/>
        <v>#VALUE!</v>
      </c>
      <c r="R108" s="3"/>
      <c r="S108" t="str">
        <f t="shared" si="45"/>
        <v/>
      </c>
    </row>
    <row r="109" spans="1:19" x14ac:dyDescent="0.4">
      <c r="A109" s="3"/>
      <c r="B109" s="3"/>
      <c r="C109" s="3"/>
      <c r="D109" s="3"/>
      <c r="E109" s="3"/>
      <c r="F109" s="3"/>
      <c r="G109" s="3"/>
      <c r="H109" t="str">
        <f t="shared" si="42"/>
        <v/>
      </c>
      <c r="I109" s="4" t="str">
        <f t="shared" si="43"/>
        <v/>
      </c>
      <c r="J109" s="4" t="str">
        <f t="shared" si="44"/>
        <v/>
      </c>
      <c r="K109" s="5" t="str">
        <f>IF(OR(B109="",C109=""),"",SUMIFS($H$4:H108,$B$4:B108,B109,$C$4:C108,C109))</f>
        <v/>
      </c>
      <c r="L109" s="4" t="str">
        <f>IF(OR(B109="",C109=""),"",IFERROR(LOOKUP(2,1/(($B$4:B108=B109)*($C$4:C108=C109)),$O$4:O108),0))</f>
        <v/>
      </c>
      <c r="M109" s="4" t="e">
        <f t="shared" si="37"/>
        <v>#VALUE!</v>
      </c>
      <c r="N109" s="4">
        <f t="shared" si="38"/>
        <v>0</v>
      </c>
      <c r="O109" s="4" t="str">
        <f t="shared" si="39"/>
        <v/>
      </c>
      <c r="P109" s="5" t="str">
        <f t="shared" si="40"/>
        <v/>
      </c>
      <c r="Q109" s="4" t="e">
        <f t="shared" si="41"/>
        <v>#VALUE!</v>
      </c>
      <c r="R109" s="3"/>
      <c r="S109" t="str">
        <f t="shared" si="45"/>
        <v/>
      </c>
    </row>
    <row r="110" spans="1:19" x14ac:dyDescent="0.4">
      <c r="A110" s="3"/>
      <c r="B110" s="3"/>
      <c r="C110" s="3"/>
      <c r="D110" s="3"/>
      <c r="E110" s="3"/>
      <c r="F110" s="3"/>
      <c r="G110" s="3"/>
      <c r="H110" t="str">
        <f t="shared" si="42"/>
        <v/>
      </c>
      <c r="I110" s="4" t="str">
        <f t="shared" si="43"/>
        <v/>
      </c>
      <c r="J110" s="4" t="str">
        <f t="shared" si="44"/>
        <v/>
      </c>
      <c r="K110" s="5" t="str">
        <f>IF(OR(B110="",C110=""),"",SUMIFS($H$4:H109,$B$4:B109,B110,$C$4:C109,C110))</f>
        <v/>
      </c>
      <c r="L110" s="4" t="str">
        <f>IF(OR(B110="",C110=""),"",IFERROR(LOOKUP(2,1/(($B$4:B109=B110)*($C$4:C109=C110)),$O$4:O109),0))</f>
        <v/>
      </c>
      <c r="M110" s="4" t="e">
        <f t="shared" si="37"/>
        <v>#VALUE!</v>
      </c>
      <c r="N110" s="4">
        <f t="shared" si="38"/>
        <v>0</v>
      </c>
      <c r="O110" s="4" t="str">
        <f t="shared" si="39"/>
        <v/>
      </c>
      <c r="P110" s="5" t="str">
        <f t="shared" si="40"/>
        <v/>
      </c>
      <c r="Q110" s="4" t="e">
        <f t="shared" si="41"/>
        <v>#VALUE!</v>
      </c>
      <c r="R110" s="3"/>
      <c r="S110" t="str">
        <f t="shared" si="45"/>
        <v/>
      </c>
    </row>
    <row r="111" spans="1:19" x14ac:dyDescent="0.4">
      <c r="A111" s="3"/>
      <c r="B111" s="3"/>
      <c r="C111" s="3"/>
      <c r="D111" s="3"/>
      <c r="E111" s="3"/>
      <c r="F111" s="3"/>
      <c r="G111" s="3"/>
      <c r="H111" t="str">
        <f t="shared" si="42"/>
        <v/>
      </c>
      <c r="I111" s="4" t="str">
        <f t="shared" si="43"/>
        <v/>
      </c>
      <c r="J111" s="4" t="str">
        <f t="shared" si="44"/>
        <v/>
      </c>
      <c r="K111" s="5" t="str">
        <f>IF(OR(B111="",C111=""),"",SUMIFS($H$4:H110,$B$4:B110,B111,$C$4:C110,C111))</f>
        <v/>
      </c>
      <c r="L111" s="4" t="str">
        <f>IF(OR(B111="",C111=""),"",IFERROR(LOOKUP(2,1/(($B$4:B110=B111)*($C$4:C110=C111)),$O$4:O110),0))</f>
        <v/>
      </c>
      <c r="M111" s="4" t="e">
        <f t="shared" si="37"/>
        <v>#VALUE!</v>
      </c>
      <c r="N111" s="4">
        <f t="shared" si="38"/>
        <v>0</v>
      </c>
      <c r="O111" s="4" t="str">
        <f t="shared" si="39"/>
        <v/>
      </c>
      <c r="P111" s="5" t="str">
        <f t="shared" si="40"/>
        <v/>
      </c>
      <c r="Q111" s="4" t="e">
        <f t="shared" si="41"/>
        <v>#VALUE!</v>
      </c>
      <c r="R111" s="3"/>
      <c r="S111" t="str">
        <f t="shared" si="45"/>
        <v/>
      </c>
    </row>
    <row r="112" spans="1:19" x14ac:dyDescent="0.4">
      <c r="A112" s="3"/>
      <c r="B112" s="3"/>
      <c r="C112" s="3"/>
      <c r="D112" s="3"/>
      <c r="E112" s="3"/>
      <c r="F112" s="3"/>
      <c r="G112" s="3"/>
      <c r="H112" t="str">
        <f t="shared" si="42"/>
        <v/>
      </c>
      <c r="I112" s="4" t="str">
        <f t="shared" si="43"/>
        <v/>
      </c>
      <c r="J112" s="4" t="str">
        <f t="shared" si="44"/>
        <v/>
      </c>
      <c r="K112" s="5" t="str">
        <f>IF(OR(B112="",C112=""),"",SUMIFS($H$4:H111,$B$4:B111,B112,$C$4:C111,C112))</f>
        <v/>
      </c>
      <c r="L112" s="4" t="str">
        <f>IF(OR(B112="",C112=""),"",IFERROR(LOOKUP(2,1/(($B$4:B111=B112)*($C$4:C111=C112)),$O$4:O111),0))</f>
        <v/>
      </c>
      <c r="M112" s="4" t="e">
        <f t="shared" si="37"/>
        <v>#VALUE!</v>
      </c>
      <c r="N112" s="4">
        <f t="shared" si="38"/>
        <v>0</v>
      </c>
      <c r="O112" s="4" t="str">
        <f t="shared" si="39"/>
        <v/>
      </c>
      <c r="P112" s="5" t="str">
        <f t="shared" si="40"/>
        <v/>
      </c>
      <c r="Q112" s="4" t="e">
        <f t="shared" si="41"/>
        <v>#VALUE!</v>
      </c>
      <c r="R112" s="3"/>
      <c r="S112" t="str">
        <f t="shared" si="45"/>
        <v/>
      </c>
    </row>
    <row r="113" spans="1:19" x14ac:dyDescent="0.4">
      <c r="A113" s="3"/>
      <c r="B113" s="3"/>
      <c r="C113" s="3"/>
      <c r="D113" s="3"/>
      <c r="E113" s="3"/>
      <c r="F113" s="3"/>
      <c r="G113" s="3"/>
      <c r="H113" t="str">
        <f t="shared" si="42"/>
        <v/>
      </c>
      <c r="I113" s="4" t="str">
        <f t="shared" si="43"/>
        <v/>
      </c>
      <c r="J113" s="4" t="str">
        <f t="shared" si="44"/>
        <v/>
      </c>
      <c r="K113" s="5" t="str">
        <f>IF(OR(B113="",C113=""),"",SUMIFS($H$4:H112,$B$4:B112,B113,$C$4:C112,C113))</f>
        <v/>
      </c>
      <c r="L113" s="4" t="str">
        <f>IF(OR(B113="",C113=""),"",IFERROR(LOOKUP(2,1/(($B$4:B112=B113)*($C$4:C112=C113)),$O$4:O112),0))</f>
        <v/>
      </c>
      <c r="M113" s="4" t="e">
        <f t="shared" si="37"/>
        <v>#VALUE!</v>
      </c>
      <c r="N113" s="4">
        <f t="shared" si="38"/>
        <v>0</v>
      </c>
      <c r="O113" s="4" t="str">
        <f t="shared" si="39"/>
        <v/>
      </c>
      <c r="P113" s="5" t="str">
        <f t="shared" si="40"/>
        <v/>
      </c>
      <c r="Q113" s="4" t="e">
        <f t="shared" si="41"/>
        <v>#VALUE!</v>
      </c>
      <c r="R113" s="3"/>
      <c r="S113" t="str">
        <f t="shared" si="45"/>
        <v/>
      </c>
    </row>
    <row r="114" spans="1:19" x14ac:dyDescent="0.4">
      <c r="A114" s="3"/>
      <c r="B114" s="3"/>
      <c r="C114" s="3"/>
      <c r="D114" s="3"/>
      <c r="E114" s="3"/>
      <c r="F114" s="3"/>
      <c r="G114" s="3"/>
      <c r="H114" t="str">
        <f t="shared" si="42"/>
        <v/>
      </c>
      <c r="I114" s="4" t="str">
        <f t="shared" si="43"/>
        <v/>
      </c>
      <c r="J114" s="4" t="str">
        <f t="shared" si="44"/>
        <v/>
      </c>
      <c r="K114" s="5" t="str">
        <f>IF(OR(B114="",C114=""),"",SUMIFS($H$4:H113,$B$4:B113,B114,$C$4:C113,C114))</f>
        <v/>
      </c>
      <c r="L114" s="4" t="str">
        <f>IF(OR(B114="",C114=""),"",IFERROR(LOOKUP(2,1/(($B$4:B113=B114)*($C$4:C113=C114)),$O$4:O113),0))</f>
        <v/>
      </c>
      <c r="M114" s="4" t="e">
        <f t="shared" si="37"/>
        <v>#VALUE!</v>
      </c>
      <c r="N114" s="4">
        <f t="shared" si="38"/>
        <v>0</v>
      </c>
      <c r="O114" s="4" t="str">
        <f t="shared" si="39"/>
        <v/>
      </c>
      <c r="P114" s="5" t="str">
        <f t="shared" si="40"/>
        <v/>
      </c>
      <c r="Q114" s="4" t="e">
        <f t="shared" si="41"/>
        <v>#VALUE!</v>
      </c>
      <c r="R114" s="3"/>
      <c r="S114" t="str">
        <f t="shared" si="45"/>
        <v/>
      </c>
    </row>
    <row r="115" spans="1:19" x14ac:dyDescent="0.4">
      <c r="A115" s="3"/>
      <c r="B115" s="3"/>
      <c r="C115" s="3"/>
      <c r="D115" s="3"/>
      <c r="E115" s="3"/>
      <c r="F115" s="3"/>
      <c r="G115" s="3"/>
      <c r="H115" t="str">
        <f t="shared" si="42"/>
        <v/>
      </c>
      <c r="I115" s="4" t="str">
        <f t="shared" si="43"/>
        <v/>
      </c>
      <c r="J115" s="4" t="str">
        <f t="shared" si="44"/>
        <v/>
      </c>
      <c r="K115" s="5" t="str">
        <f>IF(OR(B115="",C115=""),"",SUMIFS($H$4:H114,$B$4:B114,B115,$C$4:C114,C115))</f>
        <v/>
      </c>
      <c r="L115" s="4" t="str">
        <f>IF(OR(B115="",C115=""),"",IFERROR(LOOKUP(2,1/(($B$4:B114=B115)*($C$4:C114=C115)),$O$4:O114),0))</f>
        <v/>
      </c>
      <c r="M115" s="4" t="e">
        <f t="shared" si="37"/>
        <v>#VALUE!</v>
      </c>
      <c r="N115" s="4">
        <f t="shared" si="38"/>
        <v>0</v>
      </c>
      <c r="O115" s="4" t="str">
        <f t="shared" si="39"/>
        <v/>
      </c>
      <c r="P115" s="5" t="str">
        <f t="shared" si="40"/>
        <v/>
      </c>
      <c r="Q115" s="4" t="e">
        <f t="shared" si="41"/>
        <v>#VALUE!</v>
      </c>
      <c r="R115" s="3"/>
      <c r="S115" t="str">
        <f t="shared" si="45"/>
        <v/>
      </c>
    </row>
    <row r="116" spans="1:19" x14ac:dyDescent="0.4">
      <c r="A116" s="3"/>
      <c r="B116" s="3"/>
      <c r="C116" s="3"/>
      <c r="D116" s="3"/>
      <c r="E116" s="3"/>
      <c r="F116" s="3"/>
      <c r="G116" s="3"/>
      <c r="H116" t="str">
        <f t="shared" si="42"/>
        <v/>
      </c>
      <c r="I116" s="4" t="str">
        <f t="shared" si="43"/>
        <v/>
      </c>
      <c r="J116" s="4" t="str">
        <f t="shared" si="44"/>
        <v/>
      </c>
      <c r="K116" s="5" t="str">
        <f>IF(OR(B116="",C116=""),"",SUMIFS($H$4:H115,$B$4:B115,B116,$C$4:C115,C116))</f>
        <v/>
      </c>
      <c r="L116" s="4" t="str">
        <f>IF(OR(B116="",C116=""),"",IFERROR(LOOKUP(2,1/(($B$4:B115=B116)*($C$4:C115=C116)),$O$4:O115),0))</f>
        <v/>
      </c>
      <c r="M116" s="4" t="e">
        <f t="shared" si="37"/>
        <v>#VALUE!</v>
      </c>
      <c r="N116" s="4">
        <f t="shared" si="38"/>
        <v>0</v>
      </c>
      <c r="O116" s="4" t="str">
        <f t="shared" si="39"/>
        <v/>
      </c>
      <c r="P116" s="5" t="str">
        <f t="shared" si="40"/>
        <v/>
      </c>
      <c r="Q116" s="4" t="e">
        <f t="shared" si="41"/>
        <v>#VALUE!</v>
      </c>
      <c r="R116" s="3"/>
      <c r="S116" t="str">
        <f t="shared" si="45"/>
        <v/>
      </c>
    </row>
    <row r="117" spans="1:19" x14ac:dyDescent="0.4">
      <c r="A117" s="3"/>
      <c r="B117" s="3"/>
      <c r="C117" s="3"/>
      <c r="D117" s="3"/>
      <c r="E117" s="3"/>
      <c r="F117" s="3"/>
      <c r="G117" s="3"/>
      <c r="H117" t="str">
        <f t="shared" si="42"/>
        <v/>
      </c>
      <c r="I117" s="4" t="str">
        <f t="shared" si="43"/>
        <v/>
      </c>
      <c r="J117" s="4" t="str">
        <f t="shared" si="44"/>
        <v/>
      </c>
      <c r="K117" s="5" t="str">
        <f>IF(OR(B117="",C117=""),"",SUMIFS($H$4:H116,$B$4:B116,B117,$C$4:C116,C117))</f>
        <v/>
      </c>
      <c r="L117" s="4" t="str">
        <f>IF(OR(B117="",C117=""),"",IFERROR(LOOKUP(2,1/(($B$4:B116=B117)*($C$4:C116=C117)),$O$4:O116),0))</f>
        <v/>
      </c>
      <c r="M117" s="4" t="e">
        <f t="shared" si="37"/>
        <v>#VALUE!</v>
      </c>
      <c r="N117" s="4">
        <f t="shared" si="38"/>
        <v>0</v>
      </c>
      <c r="O117" s="4" t="str">
        <f t="shared" si="39"/>
        <v/>
      </c>
      <c r="P117" s="5" t="str">
        <f t="shared" si="40"/>
        <v/>
      </c>
      <c r="Q117" s="4" t="e">
        <f t="shared" si="41"/>
        <v>#VALUE!</v>
      </c>
      <c r="R117" s="3"/>
      <c r="S117" t="str">
        <f t="shared" si="45"/>
        <v/>
      </c>
    </row>
    <row r="118" spans="1:19" x14ac:dyDescent="0.4">
      <c r="A118" s="3"/>
      <c r="B118" s="3"/>
      <c r="C118" s="3"/>
      <c r="D118" s="3"/>
      <c r="E118" s="3"/>
      <c r="F118" s="3"/>
      <c r="G118" s="3"/>
      <c r="H118" t="str">
        <f t="shared" si="42"/>
        <v/>
      </c>
      <c r="I118" s="4" t="str">
        <f t="shared" si="43"/>
        <v/>
      </c>
      <c r="J118" s="4" t="str">
        <f t="shared" si="44"/>
        <v/>
      </c>
      <c r="K118" s="5" t="str">
        <f>IF(OR(B118="",C118=""),"",SUMIFS($H$4:H117,$B$4:B117,B118,$C$4:C117,C118))</f>
        <v/>
      </c>
      <c r="L118" s="4" t="str">
        <f>IF(OR(B118="",C118=""),"",IFERROR(LOOKUP(2,1/(($B$4:B117=B118)*($C$4:C117=C118)),$O$4:O117),0))</f>
        <v/>
      </c>
      <c r="M118" s="4" t="e">
        <f t="shared" si="37"/>
        <v>#VALUE!</v>
      </c>
      <c r="N118" s="4">
        <f t="shared" si="38"/>
        <v>0</v>
      </c>
      <c r="O118" s="4" t="str">
        <f t="shared" si="39"/>
        <v/>
      </c>
      <c r="P118" s="5" t="str">
        <f t="shared" si="40"/>
        <v/>
      </c>
      <c r="Q118" s="4" t="e">
        <f t="shared" si="41"/>
        <v>#VALUE!</v>
      </c>
      <c r="R118" s="3"/>
      <c r="S118" t="str">
        <f t="shared" si="45"/>
        <v/>
      </c>
    </row>
    <row r="119" spans="1:19" x14ac:dyDescent="0.4">
      <c r="A119" s="3"/>
      <c r="B119" s="3"/>
      <c r="C119" s="3"/>
      <c r="D119" s="3"/>
      <c r="E119" s="3"/>
      <c r="F119" s="3"/>
      <c r="G119" s="3"/>
      <c r="H119" t="str">
        <f t="shared" si="42"/>
        <v/>
      </c>
      <c r="I119" s="4" t="str">
        <f t="shared" si="43"/>
        <v/>
      </c>
      <c r="J119" s="4" t="str">
        <f t="shared" si="44"/>
        <v/>
      </c>
      <c r="K119" s="5" t="str">
        <f>IF(OR(B119="",C119=""),"",SUMIFS($H$4:H118,$B$4:B118,B119,$C$4:C118,C119))</f>
        <v/>
      </c>
      <c r="L119" s="4" t="str">
        <f>IF(OR(B119="",C119=""),"",IFERROR(LOOKUP(2,1/(($B$4:B118=B119)*($C$4:C118=C119)),$O$4:O118),0))</f>
        <v/>
      </c>
      <c r="M119" s="4" t="e">
        <f t="shared" si="37"/>
        <v>#VALUE!</v>
      </c>
      <c r="N119" s="4">
        <f t="shared" si="38"/>
        <v>0</v>
      </c>
      <c r="O119" s="4" t="str">
        <f t="shared" si="39"/>
        <v/>
      </c>
      <c r="P119" s="5" t="str">
        <f t="shared" si="40"/>
        <v/>
      </c>
      <c r="Q119" s="4" t="e">
        <f t="shared" si="41"/>
        <v>#VALUE!</v>
      </c>
      <c r="R119" s="3"/>
      <c r="S119" t="str">
        <f t="shared" si="45"/>
        <v/>
      </c>
    </row>
    <row r="120" spans="1:19" x14ac:dyDescent="0.4">
      <c r="A120" s="3"/>
      <c r="B120" s="3"/>
      <c r="C120" s="3"/>
      <c r="D120" s="3"/>
      <c r="E120" s="3"/>
      <c r="F120" s="3"/>
      <c r="G120" s="3"/>
      <c r="H120" t="str">
        <f t="shared" si="42"/>
        <v/>
      </c>
      <c r="I120" s="4" t="str">
        <f t="shared" si="43"/>
        <v/>
      </c>
      <c r="J120" s="4" t="str">
        <f t="shared" si="44"/>
        <v/>
      </c>
      <c r="K120" s="5" t="str">
        <f>IF(OR(B120="",C120=""),"",SUMIFS($H$4:H119,$B$4:B119,B120,$C$4:C119,C120))</f>
        <v/>
      </c>
      <c r="L120" s="4" t="str">
        <f>IF(OR(B120="",C120=""),"",IFERROR(LOOKUP(2,1/(($B$4:B119=B120)*($C$4:C119=C120)),$O$4:O119),0))</f>
        <v/>
      </c>
      <c r="M120" s="4" t="e">
        <f t="shared" si="37"/>
        <v>#VALUE!</v>
      </c>
      <c r="N120" s="4">
        <f t="shared" si="38"/>
        <v>0</v>
      </c>
      <c r="O120" s="4" t="str">
        <f t="shared" si="39"/>
        <v/>
      </c>
      <c r="P120" s="5" t="str">
        <f t="shared" si="40"/>
        <v/>
      </c>
      <c r="Q120" s="4" t="e">
        <f t="shared" si="41"/>
        <v>#VALUE!</v>
      </c>
      <c r="R120" s="3"/>
      <c r="S120" t="str">
        <f t="shared" si="45"/>
        <v/>
      </c>
    </row>
    <row r="121" spans="1:19" x14ac:dyDescent="0.4">
      <c r="A121" s="3"/>
      <c r="B121" s="3"/>
      <c r="C121" s="3"/>
      <c r="D121" s="3"/>
      <c r="E121" s="3"/>
      <c r="F121" s="3"/>
      <c r="G121" s="3"/>
      <c r="H121" t="str">
        <f t="shared" si="42"/>
        <v/>
      </c>
      <c r="I121" s="4" t="str">
        <f t="shared" si="43"/>
        <v/>
      </c>
      <c r="J121" s="4" t="str">
        <f t="shared" si="44"/>
        <v/>
      </c>
      <c r="K121" s="5" t="str">
        <f>IF(OR(B121="",C121=""),"",SUMIFS($H$4:H120,$B$4:B120,B121,$C$4:C120,C121))</f>
        <v/>
      </c>
      <c r="L121" s="4" t="str">
        <f>IF(OR(B121="",C121=""),"",IFERROR(LOOKUP(2,1/(($B$4:B120=B121)*($C$4:C120=C121)),$O$4:O120),0))</f>
        <v/>
      </c>
      <c r="M121" s="4" t="e">
        <f t="shared" si="37"/>
        <v>#VALUE!</v>
      </c>
      <c r="N121" s="4">
        <f t="shared" si="38"/>
        <v>0</v>
      </c>
      <c r="O121" s="4" t="str">
        <f t="shared" si="39"/>
        <v/>
      </c>
      <c r="P121" s="5" t="str">
        <f t="shared" si="40"/>
        <v/>
      </c>
      <c r="Q121" s="4" t="e">
        <f t="shared" si="41"/>
        <v>#VALUE!</v>
      </c>
      <c r="R121" s="3"/>
      <c r="S121" t="str">
        <f t="shared" si="45"/>
        <v/>
      </c>
    </row>
    <row r="122" spans="1:19" x14ac:dyDescent="0.4">
      <c r="A122" s="3"/>
      <c r="B122" s="3"/>
      <c r="C122" s="3"/>
      <c r="D122" s="3"/>
      <c r="E122" s="3"/>
      <c r="F122" s="3"/>
      <c r="G122" s="3"/>
      <c r="H122" t="str">
        <f t="shared" si="42"/>
        <v/>
      </c>
      <c r="I122" s="4" t="str">
        <f t="shared" si="43"/>
        <v/>
      </c>
      <c r="J122" s="4" t="str">
        <f t="shared" si="44"/>
        <v/>
      </c>
      <c r="K122" s="5" t="str">
        <f>IF(OR(B122="",C122=""),"",SUMIFS($H$4:H121,$B$4:B121,B122,$C$4:C121,C122))</f>
        <v/>
      </c>
      <c r="L122" s="4" t="str">
        <f>IF(OR(B122="",C122=""),"",IFERROR(LOOKUP(2,1/(($B$4:B121=B122)*($C$4:C121=C122)),$O$4:O121),0))</f>
        <v/>
      </c>
      <c r="M122" s="4" t="e">
        <f t="shared" si="37"/>
        <v>#VALUE!</v>
      </c>
      <c r="N122" s="4">
        <f t="shared" si="38"/>
        <v>0</v>
      </c>
      <c r="O122" s="4" t="str">
        <f t="shared" si="39"/>
        <v/>
      </c>
      <c r="P122" s="5" t="str">
        <f t="shared" si="40"/>
        <v/>
      </c>
      <c r="Q122" s="4" t="e">
        <f t="shared" si="41"/>
        <v>#VALUE!</v>
      </c>
      <c r="R122" s="3"/>
      <c r="S122" t="str">
        <f t="shared" si="45"/>
        <v/>
      </c>
    </row>
    <row r="123" spans="1:19" x14ac:dyDescent="0.4">
      <c r="A123" s="3"/>
      <c r="B123" s="3"/>
      <c r="C123" s="3"/>
      <c r="D123" s="3"/>
      <c r="E123" s="3"/>
      <c r="F123" s="3"/>
      <c r="G123" s="3"/>
      <c r="H123" t="str">
        <f t="shared" si="42"/>
        <v/>
      </c>
      <c r="I123" s="4" t="str">
        <f t="shared" si="43"/>
        <v/>
      </c>
      <c r="J123" s="4" t="str">
        <f t="shared" si="44"/>
        <v/>
      </c>
      <c r="K123" s="5" t="str">
        <f>IF(OR(B123="",C123=""),"",SUMIFS($H$4:H122,$B$4:B122,B123,$C$4:C122,C123))</f>
        <v/>
      </c>
      <c r="L123" s="4" t="str">
        <f>IF(OR(B123="",C123=""),"",IFERROR(LOOKUP(2,1/(($B$4:B122=B123)*($C$4:C122=C123)),$O$4:O122),0))</f>
        <v/>
      </c>
      <c r="M123" s="4" t="e">
        <f t="shared" si="37"/>
        <v>#VALUE!</v>
      </c>
      <c r="N123" s="4">
        <f t="shared" si="38"/>
        <v>0</v>
      </c>
      <c r="O123" s="4" t="str">
        <f t="shared" si="39"/>
        <v/>
      </c>
      <c r="P123" s="5" t="str">
        <f t="shared" si="40"/>
        <v/>
      </c>
      <c r="Q123" s="4" t="e">
        <f t="shared" si="41"/>
        <v>#VALUE!</v>
      </c>
      <c r="R123" s="3"/>
      <c r="S123" t="str">
        <f t="shared" si="45"/>
        <v/>
      </c>
    </row>
    <row r="124" spans="1:19" x14ac:dyDescent="0.4">
      <c r="A124" s="3"/>
      <c r="B124" s="3"/>
      <c r="C124" s="3"/>
      <c r="D124" s="3"/>
      <c r="E124" s="3"/>
      <c r="F124" s="3"/>
      <c r="G124" s="3"/>
      <c r="H124" t="str">
        <f t="shared" si="42"/>
        <v/>
      </c>
      <c r="I124" s="4" t="str">
        <f t="shared" si="43"/>
        <v/>
      </c>
      <c r="J124" s="4" t="str">
        <f t="shared" si="44"/>
        <v/>
      </c>
      <c r="K124" s="5" t="str">
        <f>IF(OR(B124="",C124=""),"",SUMIFS($H$4:H123,$B$4:B123,B124,$C$4:C123,C124))</f>
        <v/>
      </c>
      <c r="L124" s="4" t="str">
        <f>IF(OR(B124="",C124=""),"",IFERROR(LOOKUP(2,1/(($B$4:B123=B124)*($C$4:C123=C124)),$O$4:O123),0))</f>
        <v/>
      </c>
      <c r="M124" s="4" t="e">
        <f t="shared" si="37"/>
        <v>#VALUE!</v>
      </c>
      <c r="N124" s="4">
        <f t="shared" si="38"/>
        <v>0</v>
      </c>
      <c r="O124" s="4" t="str">
        <f t="shared" si="39"/>
        <v/>
      </c>
      <c r="P124" s="5" t="str">
        <f t="shared" si="40"/>
        <v/>
      </c>
      <c r="Q124" s="4" t="e">
        <f t="shared" si="41"/>
        <v>#VALUE!</v>
      </c>
      <c r="R124" s="3"/>
      <c r="S124" t="str">
        <f t="shared" si="45"/>
        <v/>
      </c>
    </row>
    <row r="125" spans="1:19" x14ac:dyDescent="0.4">
      <c r="A125" s="3"/>
      <c r="B125" s="3"/>
      <c r="C125" s="3"/>
      <c r="D125" s="3"/>
      <c r="E125" s="3"/>
      <c r="F125" s="3"/>
      <c r="G125" s="3"/>
      <c r="H125" t="str">
        <f t="shared" si="42"/>
        <v/>
      </c>
      <c r="I125" s="4" t="str">
        <f t="shared" si="43"/>
        <v/>
      </c>
      <c r="J125" s="4" t="str">
        <f t="shared" si="44"/>
        <v/>
      </c>
      <c r="K125" s="5" t="str">
        <f>IF(OR(B125="",C125=""),"",SUMIFS($H$4:H124,$B$4:B124,B125,$C$4:C124,C125))</f>
        <v/>
      </c>
      <c r="L125" s="4" t="str">
        <f>IF(OR(B125="",C125=""),"",IFERROR(LOOKUP(2,1/(($B$4:B124=B125)*($C$4:C124=C125)),$O$4:O124),0))</f>
        <v/>
      </c>
      <c r="M125" s="4" t="e">
        <f t="shared" si="37"/>
        <v>#VALUE!</v>
      </c>
      <c r="N125" s="4">
        <f t="shared" si="38"/>
        <v>0</v>
      </c>
      <c r="O125" s="4" t="str">
        <f t="shared" si="39"/>
        <v/>
      </c>
      <c r="P125" s="5" t="str">
        <f t="shared" si="40"/>
        <v/>
      </c>
      <c r="Q125" s="4" t="e">
        <f t="shared" si="41"/>
        <v>#VALUE!</v>
      </c>
      <c r="R125" s="3"/>
      <c r="S125" t="str">
        <f t="shared" si="45"/>
        <v/>
      </c>
    </row>
    <row r="126" spans="1:19" x14ac:dyDescent="0.4">
      <c r="A126" s="3"/>
      <c r="B126" s="3"/>
      <c r="C126" s="3"/>
      <c r="D126" s="3"/>
      <c r="E126" s="3"/>
      <c r="F126" s="3"/>
      <c r="G126" s="3"/>
      <c r="H126" t="str">
        <f t="shared" si="42"/>
        <v/>
      </c>
      <c r="I126" s="4" t="str">
        <f t="shared" si="43"/>
        <v/>
      </c>
      <c r="J126" s="4" t="str">
        <f t="shared" si="44"/>
        <v/>
      </c>
      <c r="K126" s="5" t="str">
        <f>IF(OR(B126="",C126=""),"",SUMIFS($H$4:H125,$B$4:B125,B126,$C$4:C125,C126))</f>
        <v/>
      </c>
      <c r="L126" s="4" t="str">
        <f>IF(OR(B126="",C126=""),"",IFERROR(LOOKUP(2,1/(($B$4:B125=B126)*($C$4:C125=C126)),$O$4:O125),0))</f>
        <v/>
      </c>
      <c r="M126" s="4" t="e">
        <f t="shared" si="37"/>
        <v>#VALUE!</v>
      </c>
      <c r="N126" s="4">
        <f t="shared" si="38"/>
        <v>0</v>
      </c>
      <c r="O126" s="4" t="str">
        <f t="shared" si="39"/>
        <v/>
      </c>
      <c r="P126" s="5" t="str">
        <f t="shared" si="40"/>
        <v/>
      </c>
      <c r="Q126" s="4" t="e">
        <f t="shared" si="41"/>
        <v>#VALUE!</v>
      </c>
      <c r="R126" s="3"/>
      <c r="S126" t="str">
        <f t="shared" si="45"/>
        <v/>
      </c>
    </row>
    <row r="127" spans="1:19" x14ac:dyDescent="0.4">
      <c r="A127" s="3"/>
      <c r="B127" s="3"/>
      <c r="C127" s="3"/>
      <c r="D127" s="3"/>
      <c r="E127" s="3"/>
      <c r="F127" s="3"/>
      <c r="G127" s="3"/>
      <c r="H127" t="str">
        <f t="shared" si="42"/>
        <v/>
      </c>
      <c r="I127" s="4" t="str">
        <f t="shared" si="43"/>
        <v/>
      </c>
      <c r="J127" s="4" t="str">
        <f t="shared" si="44"/>
        <v/>
      </c>
      <c r="K127" s="5" t="str">
        <f>IF(OR(B127="",C127=""),"",SUMIFS($H$4:H126,$B$4:B126,B127,$C$4:C126,C127))</f>
        <v/>
      </c>
      <c r="L127" s="4" t="str">
        <f>IF(OR(B127="",C127=""),"",IFERROR(LOOKUP(2,1/(($B$4:B126=B127)*($C$4:C126=C127)),$O$4:O126),0))</f>
        <v/>
      </c>
      <c r="M127" s="4" t="e">
        <f t="shared" si="37"/>
        <v>#VALUE!</v>
      </c>
      <c r="N127" s="4">
        <f t="shared" si="38"/>
        <v>0</v>
      </c>
      <c r="O127" s="4" t="str">
        <f t="shared" si="39"/>
        <v/>
      </c>
      <c r="P127" s="5" t="str">
        <f t="shared" si="40"/>
        <v/>
      </c>
      <c r="Q127" s="4" t="e">
        <f t="shared" si="41"/>
        <v>#VALUE!</v>
      </c>
      <c r="R127" s="3"/>
      <c r="S127" t="str">
        <f t="shared" si="45"/>
        <v/>
      </c>
    </row>
    <row r="128" spans="1:19" x14ac:dyDescent="0.4">
      <c r="A128" s="3"/>
      <c r="B128" s="3"/>
      <c r="C128" s="3"/>
      <c r="D128" s="3"/>
      <c r="E128" s="3"/>
      <c r="F128" s="3"/>
      <c r="G128" s="3"/>
      <c r="H128" t="str">
        <f t="shared" si="42"/>
        <v/>
      </c>
      <c r="I128" s="4" t="str">
        <f t="shared" si="43"/>
        <v/>
      </c>
      <c r="J128" s="4" t="str">
        <f t="shared" si="44"/>
        <v/>
      </c>
      <c r="K128" s="5" t="str">
        <f>IF(OR(B128="",C128=""),"",SUMIFS($H$4:H127,$B$4:B127,B128,$C$4:C127,C128))</f>
        <v/>
      </c>
      <c r="L128" s="4" t="str">
        <f>IF(OR(B128="",C128=""),"",IFERROR(LOOKUP(2,1/(($B$4:B127=B128)*($C$4:C127=C128)),$O$4:O127),0))</f>
        <v/>
      </c>
      <c r="M128" s="4" t="e">
        <f t="shared" si="37"/>
        <v>#VALUE!</v>
      </c>
      <c r="N128" s="4">
        <f t="shared" si="38"/>
        <v>0</v>
      </c>
      <c r="O128" s="4" t="str">
        <f t="shared" si="39"/>
        <v/>
      </c>
      <c r="P128" s="5" t="str">
        <f t="shared" si="40"/>
        <v/>
      </c>
      <c r="Q128" s="4" t="e">
        <f t="shared" si="41"/>
        <v>#VALUE!</v>
      </c>
      <c r="R128" s="3"/>
      <c r="S128" t="str">
        <f t="shared" si="45"/>
        <v/>
      </c>
    </row>
    <row r="129" spans="1:19" x14ac:dyDescent="0.4">
      <c r="A129" s="3"/>
      <c r="B129" s="3"/>
      <c r="C129" s="3"/>
      <c r="D129" s="3"/>
      <c r="E129" s="3"/>
      <c r="F129" s="3"/>
      <c r="G129" s="3"/>
      <c r="H129" t="str">
        <f t="shared" si="42"/>
        <v/>
      </c>
      <c r="I129" s="4" t="str">
        <f t="shared" si="43"/>
        <v/>
      </c>
      <c r="J129" s="4" t="str">
        <f t="shared" si="44"/>
        <v/>
      </c>
      <c r="K129" s="5" t="str">
        <f>IF(OR(B129="",C129=""),"",SUMIFS($H$4:H128,$B$4:B128,B129,$C$4:C128,C129))</f>
        <v/>
      </c>
      <c r="L129" s="4" t="str">
        <f>IF(OR(B129="",C129=""),"",IFERROR(LOOKUP(2,1/(($B$4:B128=B129)*($C$4:C128=C129)),$O$4:O128),0))</f>
        <v/>
      </c>
      <c r="M129" s="4" t="e">
        <f t="shared" si="37"/>
        <v>#VALUE!</v>
      </c>
      <c r="N129" s="4">
        <f t="shared" si="38"/>
        <v>0</v>
      </c>
      <c r="O129" s="4" t="str">
        <f t="shared" si="39"/>
        <v/>
      </c>
      <c r="P129" s="5" t="str">
        <f t="shared" si="40"/>
        <v/>
      </c>
      <c r="Q129" s="4" t="e">
        <f t="shared" si="41"/>
        <v>#VALUE!</v>
      </c>
      <c r="R129" s="3"/>
      <c r="S129" t="str">
        <f t="shared" si="45"/>
        <v/>
      </c>
    </row>
    <row r="130" spans="1:19" x14ac:dyDescent="0.4">
      <c r="A130" s="3"/>
      <c r="B130" s="3"/>
      <c r="C130" s="3"/>
      <c r="D130" s="3"/>
      <c r="E130" s="3"/>
      <c r="F130" s="3"/>
      <c r="G130" s="3"/>
      <c r="H130" t="str">
        <f t="shared" si="42"/>
        <v/>
      </c>
      <c r="I130" s="4" t="str">
        <f t="shared" si="43"/>
        <v/>
      </c>
      <c r="J130" s="4" t="str">
        <f t="shared" si="44"/>
        <v/>
      </c>
      <c r="K130" s="5" t="str">
        <f>IF(OR(B130="",C130=""),"",SUMIFS($H$4:H129,$B$4:B129,B130,$C$4:C129,C130))</f>
        <v/>
      </c>
      <c r="L130" s="4" t="str">
        <f>IF(OR(B130="",C130=""),"",IFERROR(LOOKUP(2,1/(($B$4:B129=B130)*($C$4:C129=C130)),$O$4:O129),0))</f>
        <v/>
      </c>
      <c r="M130" s="4" t="e">
        <f t="shared" si="37"/>
        <v>#VALUE!</v>
      </c>
      <c r="N130" s="4">
        <f t="shared" si="38"/>
        <v>0</v>
      </c>
      <c r="O130" s="4" t="str">
        <f t="shared" si="39"/>
        <v/>
      </c>
      <c r="P130" s="5" t="str">
        <f t="shared" si="40"/>
        <v/>
      </c>
      <c r="Q130" s="4" t="e">
        <f t="shared" si="41"/>
        <v>#VALUE!</v>
      </c>
      <c r="R130" s="3"/>
      <c r="S130" t="str">
        <f t="shared" si="45"/>
        <v/>
      </c>
    </row>
    <row r="131" spans="1:19" x14ac:dyDescent="0.4">
      <c r="A131" s="3"/>
      <c r="B131" s="3"/>
      <c r="C131" s="3"/>
      <c r="D131" s="3"/>
      <c r="E131" s="3"/>
      <c r="F131" s="3"/>
      <c r="G131" s="3"/>
      <c r="H131" t="str">
        <f t="shared" si="42"/>
        <v/>
      </c>
      <c r="I131" s="4" t="str">
        <f t="shared" si="43"/>
        <v/>
      </c>
      <c r="J131" s="4" t="str">
        <f t="shared" si="44"/>
        <v/>
      </c>
      <c r="K131" s="5" t="str">
        <f>IF(OR(B131="",C131=""),"",SUMIFS($H$4:H130,$B$4:B130,B131,$C$4:C130,C131))</f>
        <v/>
      </c>
      <c r="L131" s="4" t="str">
        <f>IF(OR(B131="",C131=""),"",IFERROR(LOOKUP(2,1/(($B$4:B130=B131)*($C$4:C130=C131)),$O$4:O130),0))</f>
        <v/>
      </c>
      <c r="M131" s="4" t="e">
        <f t="shared" si="37"/>
        <v>#VALUE!</v>
      </c>
      <c r="N131" s="4">
        <f t="shared" si="38"/>
        <v>0</v>
      </c>
      <c r="O131" s="4" t="str">
        <f t="shared" si="39"/>
        <v/>
      </c>
      <c r="P131" s="5" t="str">
        <f t="shared" si="40"/>
        <v/>
      </c>
      <c r="Q131" s="4" t="e">
        <f t="shared" si="41"/>
        <v>#VALUE!</v>
      </c>
      <c r="R131" s="3"/>
      <c r="S131" t="str">
        <f t="shared" si="45"/>
        <v/>
      </c>
    </row>
    <row r="132" spans="1:19" x14ac:dyDescent="0.4">
      <c r="A132" s="3"/>
      <c r="B132" s="3"/>
      <c r="C132" s="3"/>
      <c r="D132" s="3"/>
      <c r="E132" s="3"/>
      <c r="F132" s="3"/>
      <c r="G132" s="3"/>
      <c r="H132" t="str">
        <f t="shared" si="42"/>
        <v/>
      </c>
      <c r="I132" s="4" t="str">
        <f t="shared" si="43"/>
        <v/>
      </c>
      <c r="J132" s="4" t="str">
        <f t="shared" si="44"/>
        <v/>
      </c>
      <c r="K132" s="5" t="str">
        <f>IF(OR(B132="",C132=""),"",SUMIFS($H$4:H131,$B$4:B131,B132,$C$4:C131,C132))</f>
        <v/>
      </c>
      <c r="L132" s="4" t="str">
        <f>IF(OR(B132="",C132=""),"",IFERROR(LOOKUP(2,1/(($B$4:B131=B132)*($C$4:C131=C132)),$O$4:O131),0))</f>
        <v/>
      </c>
      <c r="M132" s="4" t="e">
        <f t="shared" si="37"/>
        <v>#VALUE!</v>
      </c>
      <c r="N132" s="4">
        <f t="shared" si="38"/>
        <v>0</v>
      </c>
      <c r="O132" s="4" t="str">
        <f t="shared" si="39"/>
        <v/>
      </c>
      <c r="P132" s="5" t="str">
        <f t="shared" si="40"/>
        <v/>
      </c>
      <c r="Q132" s="4" t="e">
        <f t="shared" si="41"/>
        <v>#VALUE!</v>
      </c>
      <c r="R132" s="3"/>
      <c r="S132" t="str">
        <f t="shared" si="45"/>
        <v/>
      </c>
    </row>
    <row r="133" spans="1:19" x14ac:dyDescent="0.4">
      <c r="A133" s="3"/>
      <c r="B133" s="3"/>
      <c r="C133" s="3"/>
      <c r="D133" s="3"/>
      <c r="E133" s="3"/>
      <c r="F133" s="3"/>
      <c r="G133" s="3"/>
      <c r="H133" t="str">
        <f t="shared" si="42"/>
        <v/>
      </c>
      <c r="I133" s="4" t="str">
        <f t="shared" si="43"/>
        <v/>
      </c>
      <c r="J133" s="4" t="str">
        <f t="shared" si="44"/>
        <v/>
      </c>
      <c r="K133" s="5" t="str">
        <f>IF(OR(B133="",C133=""),"",SUMIFS($H$4:H132,$B$4:B132,B133,$C$4:C132,C133))</f>
        <v/>
      </c>
      <c r="L133" s="4" t="str">
        <f>IF(OR(B133="",C133=""),"",IFERROR(LOOKUP(2,1/(($B$4:B132=B133)*($C$4:C132=C133)),$O$4:O132),0))</f>
        <v/>
      </c>
      <c r="M133" s="4" t="e">
        <f t="shared" si="37"/>
        <v>#VALUE!</v>
      </c>
      <c r="N133" s="4">
        <f t="shared" si="38"/>
        <v>0</v>
      </c>
      <c r="O133" s="4" t="str">
        <f t="shared" si="39"/>
        <v/>
      </c>
      <c r="P133" s="5" t="str">
        <f t="shared" si="40"/>
        <v/>
      </c>
      <c r="Q133" s="4" t="e">
        <f t="shared" si="41"/>
        <v>#VALUE!</v>
      </c>
      <c r="R133" s="3"/>
      <c r="S133" t="str">
        <f t="shared" si="45"/>
        <v/>
      </c>
    </row>
    <row r="134" spans="1:19" x14ac:dyDescent="0.4">
      <c r="A134" s="3"/>
      <c r="B134" s="3"/>
      <c r="C134" s="3"/>
      <c r="D134" s="3"/>
      <c r="E134" s="3"/>
      <c r="F134" s="3"/>
      <c r="G134" s="3"/>
      <c r="H134" t="str">
        <f t="shared" si="42"/>
        <v/>
      </c>
      <c r="I134" s="4" t="str">
        <f t="shared" si="43"/>
        <v/>
      </c>
      <c r="J134" s="4" t="str">
        <f t="shared" si="44"/>
        <v/>
      </c>
      <c r="K134" s="5" t="str">
        <f>IF(OR(B134="",C134=""),"",SUMIFS($H$4:H133,$B$4:B133,B134,$C$4:C133,C134))</f>
        <v/>
      </c>
      <c r="L134" s="4" t="str">
        <f>IF(OR(B134="",C134=""),"",IFERROR(LOOKUP(2,1/(($B$4:B133=B134)*($C$4:C133=C134)),$O$4:O133),0))</f>
        <v/>
      </c>
      <c r="M134" s="4" t="e">
        <f t="shared" si="37"/>
        <v>#VALUE!</v>
      </c>
      <c r="N134" s="4">
        <f t="shared" si="38"/>
        <v>0</v>
      </c>
      <c r="O134" s="4" t="str">
        <f t="shared" si="39"/>
        <v/>
      </c>
      <c r="P134" s="5" t="str">
        <f t="shared" si="40"/>
        <v/>
      </c>
      <c r="Q134" s="4" t="e">
        <f t="shared" si="41"/>
        <v>#VALUE!</v>
      </c>
      <c r="R134" s="3"/>
      <c r="S134" t="str">
        <f t="shared" si="45"/>
        <v/>
      </c>
    </row>
    <row r="135" spans="1:19" x14ac:dyDescent="0.4">
      <c r="A135" s="3"/>
      <c r="B135" s="3"/>
      <c r="C135" s="3"/>
      <c r="D135" s="3"/>
      <c r="E135" s="3"/>
      <c r="F135" s="3"/>
      <c r="G135" s="3"/>
      <c r="H135" t="str">
        <f t="shared" ref="H135:H166" si="46">IF(OR(D135="",E135=""),"",IF(D135="BUY",E135,-E135))</f>
        <v/>
      </c>
      <c r="I135" s="4" t="str">
        <f t="shared" ref="I135:I166" si="47">IF(H135="","",ABS(H135)*F135)</f>
        <v/>
      </c>
      <c r="J135" s="4" t="str">
        <f t="shared" ref="J135:J166" si="48">IF(H135="","",-H135*F135-G135)</f>
        <v/>
      </c>
      <c r="K135" s="5" t="str">
        <f>IF(OR(B135="",C135=""),"",SUMIFS($H$4:H134,$B$4:B134,B135,$C$4:C134,C135))</f>
        <v/>
      </c>
      <c r="L135" s="4" t="str">
        <f>IF(OR(B135="",C135=""),"",IFERROR(LOOKUP(2,1/(($B$4:B134=B135)*($C$4:C134=C135)),$O$4:O134),0))</f>
        <v/>
      </c>
      <c r="M135" s="4" t="e">
        <f t="shared" si="37"/>
        <v>#VALUE!</v>
      </c>
      <c r="N135" s="4">
        <f t="shared" si="38"/>
        <v>0</v>
      </c>
      <c r="O135" s="4" t="str">
        <f t="shared" si="39"/>
        <v/>
      </c>
      <c r="P135" s="5" t="str">
        <f t="shared" si="40"/>
        <v/>
      </c>
      <c r="Q135" s="4" t="e">
        <f t="shared" si="41"/>
        <v>#VALUE!</v>
      </c>
      <c r="R135" s="3"/>
      <c r="S135" t="str">
        <f t="shared" ref="S135:S166" si="49">IF(H135="","",IF(P135&lt;0,"ERROR: Over-sold",IF(AND(H135&lt;0,K135=0),"ERROR: Sell w/o position","")))</f>
        <v/>
      </c>
    </row>
    <row r="136" spans="1:19" x14ac:dyDescent="0.4">
      <c r="A136" s="3"/>
      <c r="B136" s="3"/>
      <c r="C136" s="3"/>
      <c r="D136" s="3"/>
      <c r="E136" s="3"/>
      <c r="F136" s="3"/>
      <c r="G136" s="3"/>
      <c r="H136" t="str">
        <f t="shared" si="46"/>
        <v/>
      </c>
      <c r="I136" s="4" t="str">
        <f t="shared" si="47"/>
        <v/>
      </c>
      <c r="J136" s="4" t="str">
        <f t="shared" si="48"/>
        <v/>
      </c>
      <c r="K136" s="5" t="str">
        <f>IF(OR(B136="",C136=""),"",SUMIFS($H$4:H135,$B$4:B135,B136,$C$4:C135,C136))</f>
        <v/>
      </c>
      <c r="L136" s="4" t="str">
        <f>IF(OR(B136="",C136=""),"",IFERROR(LOOKUP(2,1/(($B$4:B135=B136)*($C$4:C135=C136)),$O$4:O135),0))</f>
        <v/>
      </c>
      <c r="M136" s="4" t="e">
        <f t="shared" si="37"/>
        <v>#VALUE!</v>
      </c>
      <c r="N136" s="4">
        <f t="shared" si="38"/>
        <v>0</v>
      </c>
      <c r="O136" s="4" t="str">
        <f t="shared" si="39"/>
        <v/>
      </c>
      <c r="P136" s="5" t="str">
        <f t="shared" si="40"/>
        <v/>
      </c>
      <c r="Q136" s="4" t="e">
        <f t="shared" si="41"/>
        <v>#VALUE!</v>
      </c>
      <c r="R136" s="3"/>
      <c r="S136" t="str">
        <f t="shared" si="49"/>
        <v/>
      </c>
    </row>
    <row r="137" spans="1:19" x14ac:dyDescent="0.4">
      <c r="A137" s="3"/>
      <c r="B137" s="3"/>
      <c r="C137" s="3"/>
      <c r="D137" s="3"/>
      <c r="E137" s="3"/>
      <c r="F137" s="3"/>
      <c r="G137" s="3"/>
      <c r="H137" t="str">
        <f t="shared" si="46"/>
        <v/>
      </c>
      <c r="I137" s="4" t="str">
        <f t="shared" si="47"/>
        <v/>
      </c>
      <c r="J137" s="4" t="str">
        <f t="shared" si="48"/>
        <v/>
      </c>
      <c r="K137" s="5" t="str">
        <f>IF(OR(B137="",C137=""),"",SUMIFS($H$4:H136,$B$4:B136,B137,$C$4:C136,C137))</f>
        <v/>
      </c>
      <c r="L137" s="4" t="str">
        <f>IF(OR(B137="",C137=""),"",IFERROR(LOOKUP(2,1/(($B$4:B136=B137)*($C$4:C136=C137)),$O$4:O136),0))</f>
        <v/>
      </c>
      <c r="M137" s="4" t="e">
        <f t="shared" si="37"/>
        <v>#VALUE!</v>
      </c>
      <c r="N137" s="4">
        <f t="shared" si="38"/>
        <v>0</v>
      </c>
      <c r="O137" s="4" t="str">
        <f t="shared" si="39"/>
        <v/>
      </c>
      <c r="P137" s="5" t="str">
        <f t="shared" si="40"/>
        <v/>
      </c>
      <c r="Q137" s="4" t="e">
        <f t="shared" si="41"/>
        <v>#VALUE!</v>
      </c>
      <c r="R137" s="3"/>
      <c r="S137" t="str">
        <f t="shared" si="49"/>
        <v/>
      </c>
    </row>
    <row r="138" spans="1:19" x14ac:dyDescent="0.4">
      <c r="A138" s="3"/>
      <c r="B138" s="3"/>
      <c r="C138" s="3"/>
      <c r="D138" s="3"/>
      <c r="E138" s="3"/>
      <c r="F138" s="3"/>
      <c r="G138" s="3"/>
      <c r="H138" t="str">
        <f t="shared" si="46"/>
        <v/>
      </c>
      <c r="I138" s="4" t="str">
        <f t="shared" si="47"/>
        <v/>
      </c>
      <c r="J138" s="4" t="str">
        <f t="shared" si="48"/>
        <v/>
      </c>
      <c r="K138" s="5" t="str">
        <f>IF(OR(B138="",C138=""),"",SUMIFS($H$4:H137,$B$4:B137,B138,$C$4:C137,C138))</f>
        <v/>
      </c>
      <c r="L138" s="4" t="str">
        <f>IF(OR(B138="",C138=""),"",IFERROR(LOOKUP(2,1/(($B$4:B137=B138)*($C$4:C137=C138)),$O$4:O137),0))</f>
        <v/>
      </c>
      <c r="M138" s="4" t="e">
        <f t="shared" si="37"/>
        <v>#VALUE!</v>
      </c>
      <c r="N138" s="4">
        <f t="shared" si="38"/>
        <v>0</v>
      </c>
      <c r="O138" s="4" t="str">
        <f t="shared" si="39"/>
        <v/>
      </c>
      <c r="P138" s="5" t="str">
        <f t="shared" si="40"/>
        <v/>
      </c>
      <c r="Q138" s="4" t="e">
        <f t="shared" si="41"/>
        <v>#VALUE!</v>
      </c>
      <c r="R138" s="3"/>
      <c r="S138" t="str">
        <f t="shared" si="49"/>
        <v/>
      </c>
    </row>
    <row r="139" spans="1:19" x14ac:dyDescent="0.4">
      <c r="A139" s="3"/>
      <c r="B139" s="3"/>
      <c r="C139" s="3"/>
      <c r="D139" s="3"/>
      <c r="E139" s="3"/>
      <c r="F139" s="3"/>
      <c r="G139" s="3"/>
      <c r="H139" t="str">
        <f t="shared" si="46"/>
        <v/>
      </c>
      <c r="I139" s="4" t="str">
        <f t="shared" si="47"/>
        <v/>
      </c>
      <c r="J139" s="4" t="str">
        <f t="shared" si="48"/>
        <v/>
      </c>
      <c r="K139" s="5" t="str">
        <f>IF(OR(B139="",C139=""),"",SUMIFS($H$4:H138,$B$4:B138,B139,$C$4:C138,C139))</f>
        <v/>
      </c>
      <c r="L139" s="4" t="str">
        <f>IF(OR(B139="",C139=""),"",IFERROR(LOOKUP(2,1/(($B$4:B138=B139)*($C$4:C138=C139)),$O$4:O138),0))</f>
        <v/>
      </c>
      <c r="M139" s="4" t="e">
        <f t="shared" si="37"/>
        <v>#VALUE!</v>
      </c>
      <c r="N139" s="4">
        <f t="shared" si="38"/>
        <v>0</v>
      </c>
      <c r="O139" s="4" t="str">
        <f t="shared" si="39"/>
        <v/>
      </c>
      <c r="P139" s="5" t="str">
        <f t="shared" si="40"/>
        <v/>
      </c>
      <c r="Q139" s="4" t="e">
        <f t="shared" si="41"/>
        <v>#VALUE!</v>
      </c>
      <c r="R139" s="3"/>
      <c r="S139" t="str">
        <f t="shared" si="49"/>
        <v/>
      </c>
    </row>
    <row r="140" spans="1:19" x14ac:dyDescent="0.4">
      <c r="A140" s="3"/>
      <c r="B140" s="3"/>
      <c r="C140" s="3"/>
      <c r="D140" s="3"/>
      <c r="E140" s="3"/>
      <c r="F140" s="3"/>
      <c r="G140" s="3"/>
      <c r="H140" t="str">
        <f t="shared" si="46"/>
        <v/>
      </c>
      <c r="I140" s="4" t="str">
        <f t="shared" si="47"/>
        <v/>
      </c>
      <c r="J140" s="4" t="str">
        <f t="shared" si="48"/>
        <v/>
      </c>
      <c r="K140" s="5" t="str">
        <f>IF(OR(B140="",C140=""),"",SUMIFS($H$4:H139,$B$4:B139,B140,$C$4:C139,C140))</f>
        <v/>
      </c>
      <c r="L140" s="4" t="str">
        <f>IF(OR(B140="",C140=""),"",IFERROR(LOOKUP(2,1/(($B$4:B139=B140)*($C$4:C139=C140)),$O$4:O139),0))</f>
        <v/>
      </c>
      <c r="M140" s="4" t="e">
        <f t="shared" si="37"/>
        <v>#VALUE!</v>
      </c>
      <c r="N140" s="4">
        <f t="shared" si="38"/>
        <v>0</v>
      </c>
      <c r="O140" s="4" t="str">
        <f t="shared" si="39"/>
        <v/>
      </c>
      <c r="P140" s="5" t="str">
        <f t="shared" si="40"/>
        <v/>
      </c>
      <c r="Q140" s="4" t="e">
        <f t="shared" si="41"/>
        <v>#VALUE!</v>
      </c>
      <c r="R140" s="3"/>
      <c r="S140" t="str">
        <f t="shared" si="49"/>
        <v/>
      </c>
    </row>
    <row r="141" spans="1:19" x14ac:dyDescent="0.4">
      <c r="A141" s="3"/>
      <c r="B141" s="3"/>
      <c r="C141" s="3"/>
      <c r="D141" s="3"/>
      <c r="E141" s="3"/>
      <c r="F141" s="3"/>
      <c r="G141" s="3"/>
      <c r="H141" t="str">
        <f t="shared" si="46"/>
        <v/>
      </c>
      <c r="I141" s="4" t="str">
        <f t="shared" si="47"/>
        <v/>
      </c>
      <c r="J141" s="4" t="str">
        <f t="shared" si="48"/>
        <v/>
      </c>
      <c r="K141" s="5" t="str">
        <f>IF(OR(B141="",C141=""),"",SUMIFS($H$4:H140,$B$4:B140,B141,$C$4:C140,C141))</f>
        <v/>
      </c>
      <c r="L141" s="4" t="str">
        <f>IF(OR(B141="",C141=""),"",IFERROR(LOOKUP(2,1/(($B$4:B140=B141)*($C$4:C140=C141)),$O$4:O140),0))</f>
        <v/>
      </c>
      <c r="M141" s="4" t="e">
        <f t="shared" si="37"/>
        <v>#VALUE!</v>
      </c>
      <c r="N141" s="4">
        <f t="shared" si="38"/>
        <v>0</v>
      </c>
      <c r="O141" s="4" t="str">
        <f t="shared" si="39"/>
        <v/>
      </c>
      <c r="P141" s="5" t="str">
        <f t="shared" si="40"/>
        <v/>
      </c>
      <c r="Q141" s="4" t="e">
        <f t="shared" si="41"/>
        <v>#VALUE!</v>
      </c>
      <c r="R141" s="3"/>
      <c r="S141" t="str">
        <f t="shared" si="49"/>
        <v/>
      </c>
    </row>
    <row r="142" spans="1:19" x14ac:dyDescent="0.4">
      <c r="A142" s="3"/>
      <c r="B142" s="3"/>
      <c r="C142" s="3"/>
      <c r="D142" s="3"/>
      <c r="E142" s="3"/>
      <c r="F142" s="3"/>
      <c r="G142" s="3"/>
      <c r="H142" t="str">
        <f t="shared" si="46"/>
        <v/>
      </c>
      <c r="I142" s="4" t="str">
        <f t="shared" si="47"/>
        <v/>
      </c>
      <c r="J142" s="4" t="str">
        <f t="shared" si="48"/>
        <v/>
      </c>
      <c r="K142" s="5" t="str">
        <f>IF(OR(B142="",C142=""),"",SUMIFS($H$4:H141,$B$4:B141,B142,$C$4:C141,C142))</f>
        <v/>
      </c>
      <c r="L142" s="4" t="str">
        <f>IF(OR(B142="",C142=""),"",IFERROR(LOOKUP(2,1/(($B$4:B141=B142)*($C$4:C141=C142)),$O$4:O141),0))</f>
        <v/>
      </c>
      <c r="M142" s="4" t="e">
        <f t="shared" si="37"/>
        <v>#VALUE!</v>
      </c>
      <c r="N142" s="4">
        <f t="shared" si="38"/>
        <v>0</v>
      </c>
      <c r="O142" s="4" t="str">
        <f t="shared" si="39"/>
        <v/>
      </c>
      <c r="P142" s="5" t="str">
        <f t="shared" si="40"/>
        <v/>
      </c>
      <c r="Q142" s="4" t="e">
        <f t="shared" si="41"/>
        <v>#VALUE!</v>
      </c>
      <c r="R142" s="3"/>
      <c r="S142" t="str">
        <f t="shared" si="49"/>
        <v/>
      </c>
    </row>
    <row r="143" spans="1:19" x14ac:dyDescent="0.4">
      <c r="A143" s="3"/>
      <c r="B143" s="3"/>
      <c r="C143" s="3"/>
      <c r="D143" s="3"/>
      <c r="E143" s="3"/>
      <c r="F143" s="3"/>
      <c r="G143" s="3"/>
      <c r="H143" t="str">
        <f t="shared" si="46"/>
        <v/>
      </c>
      <c r="I143" s="4" t="str">
        <f t="shared" si="47"/>
        <v/>
      </c>
      <c r="J143" s="4" t="str">
        <f t="shared" si="48"/>
        <v/>
      </c>
      <c r="K143" s="5" t="str">
        <f>IF(OR(B143="",C143=""),"",SUMIFS($H$4:H142,$B$4:B142,B143,$C$4:C142,C143))</f>
        <v/>
      </c>
      <c r="L143" s="4" t="str">
        <f>IF(OR(B143="",C143=""),"",IFERROR(LOOKUP(2,1/(($B$4:B142=B143)*($C$4:C142=C143)),$O$4:O142),0))</f>
        <v/>
      </c>
      <c r="M143" s="4" t="e">
        <f t="shared" si="37"/>
        <v>#VALUE!</v>
      </c>
      <c r="N143" s="4">
        <f t="shared" si="38"/>
        <v>0</v>
      </c>
      <c r="O143" s="4" t="str">
        <f t="shared" si="39"/>
        <v/>
      </c>
      <c r="P143" s="5" t="str">
        <f t="shared" si="40"/>
        <v/>
      </c>
      <c r="Q143" s="4" t="e">
        <f t="shared" si="41"/>
        <v>#VALUE!</v>
      </c>
      <c r="R143" s="3"/>
      <c r="S143" t="str">
        <f t="shared" si="49"/>
        <v/>
      </c>
    </row>
    <row r="144" spans="1:19" x14ac:dyDescent="0.4">
      <c r="A144" s="3"/>
      <c r="B144" s="3"/>
      <c r="C144" s="3"/>
      <c r="D144" s="3"/>
      <c r="E144" s="3"/>
      <c r="F144" s="3"/>
      <c r="G144" s="3"/>
      <c r="H144" t="str">
        <f t="shared" si="46"/>
        <v/>
      </c>
      <c r="I144" s="4" t="str">
        <f t="shared" si="47"/>
        <v/>
      </c>
      <c r="J144" s="4" t="str">
        <f t="shared" si="48"/>
        <v/>
      </c>
      <c r="K144" s="5" t="str">
        <f>IF(OR(B144="",C144=""),"",SUMIFS($H$4:H143,$B$4:B143,B144,$C$4:C143,C144))</f>
        <v/>
      </c>
      <c r="L144" s="4" t="str">
        <f>IF(OR(B144="",C144=""),"",IFERROR(LOOKUP(2,1/(($B$4:B143=B144)*($C$4:C143=C144)),$O$4:O143),0))</f>
        <v/>
      </c>
      <c r="M144" s="4" t="e">
        <f t="shared" si="37"/>
        <v>#VALUE!</v>
      </c>
      <c r="N144" s="4">
        <f t="shared" si="38"/>
        <v>0</v>
      </c>
      <c r="O144" s="4" t="str">
        <f t="shared" si="39"/>
        <v/>
      </c>
      <c r="P144" s="5" t="str">
        <f t="shared" si="40"/>
        <v/>
      </c>
      <c r="Q144" s="4" t="e">
        <f t="shared" si="41"/>
        <v>#VALUE!</v>
      </c>
      <c r="R144" s="3"/>
      <c r="S144" t="str">
        <f t="shared" si="49"/>
        <v/>
      </c>
    </row>
    <row r="145" spans="1:19" x14ac:dyDescent="0.4">
      <c r="A145" s="3"/>
      <c r="B145" s="3"/>
      <c r="C145" s="3"/>
      <c r="D145" s="3"/>
      <c r="E145" s="3"/>
      <c r="F145" s="3"/>
      <c r="G145" s="3"/>
      <c r="H145" t="str">
        <f t="shared" si="46"/>
        <v/>
      </c>
      <c r="I145" s="4" t="str">
        <f t="shared" si="47"/>
        <v/>
      </c>
      <c r="J145" s="4" t="str">
        <f t="shared" si="48"/>
        <v/>
      </c>
      <c r="K145" s="5" t="str">
        <f>IF(OR(B145="",C145=""),"",SUMIFS($H$4:H144,$B$4:B144,B145,$C$4:C144,C145))</f>
        <v/>
      </c>
      <c r="L145" s="4" t="str">
        <f>IF(OR(B145="",C145=""),"",IFERROR(LOOKUP(2,1/(($B$4:B144=B145)*($C$4:C144=C145)),$O$4:O144),0))</f>
        <v/>
      </c>
      <c r="M145" s="4" t="e">
        <f t="shared" si="37"/>
        <v>#VALUE!</v>
      </c>
      <c r="N145" s="4">
        <f t="shared" si="38"/>
        <v>0</v>
      </c>
      <c r="O145" s="4" t="str">
        <f t="shared" si="39"/>
        <v/>
      </c>
      <c r="P145" s="5" t="str">
        <f t="shared" si="40"/>
        <v/>
      </c>
      <c r="Q145" s="4" t="e">
        <f t="shared" si="41"/>
        <v>#VALUE!</v>
      </c>
      <c r="R145" s="3"/>
      <c r="S145" t="str">
        <f t="shared" si="49"/>
        <v/>
      </c>
    </row>
    <row r="146" spans="1:19" x14ac:dyDescent="0.4">
      <c r="A146" s="3"/>
      <c r="B146" s="3"/>
      <c r="C146" s="3"/>
      <c r="D146" s="3"/>
      <c r="E146" s="3"/>
      <c r="F146" s="3"/>
      <c r="G146" s="3"/>
      <c r="H146" t="str">
        <f t="shared" si="46"/>
        <v/>
      </c>
      <c r="I146" s="4" t="str">
        <f t="shared" si="47"/>
        <v/>
      </c>
      <c r="J146" s="4" t="str">
        <f t="shared" si="48"/>
        <v/>
      </c>
      <c r="K146" s="5" t="str">
        <f>IF(OR(B146="",C146=""),"",SUMIFS($H$4:H145,$B$4:B145,B146,$C$4:C145,C146))</f>
        <v/>
      </c>
      <c r="L146" s="4" t="str">
        <f>IF(OR(B146="",C146=""),"",IFERROR(LOOKUP(2,1/(($B$4:B145=B146)*($C$4:C145=C146)),$O$4:O145),0))</f>
        <v/>
      </c>
      <c r="M146" s="4" t="e">
        <f t="shared" si="37"/>
        <v>#VALUE!</v>
      </c>
      <c r="N146" s="4">
        <f t="shared" si="38"/>
        <v>0</v>
      </c>
      <c r="O146" s="4" t="str">
        <f t="shared" si="39"/>
        <v/>
      </c>
      <c r="P146" s="5" t="str">
        <f t="shared" si="40"/>
        <v/>
      </c>
      <c r="Q146" s="4" t="e">
        <f t="shared" si="41"/>
        <v>#VALUE!</v>
      </c>
      <c r="R146" s="3"/>
      <c r="S146" t="str">
        <f t="shared" si="49"/>
        <v/>
      </c>
    </row>
    <row r="147" spans="1:19" x14ac:dyDescent="0.4">
      <c r="A147" s="3"/>
      <c r="B147" s="3"/>
      <c r="C147" s="3"/>
      <c r="D147" s="3"/>
      <c r="E147" s="3"/>
      <c r="F147" s="3"/>
      <c r="G147" s="3"/>
      <c r="H147" t="str">
        <f t="shared" si="46"/>
        <v/>
      </c>
      <c r="I147" s="4" t="str">
        <f t="shared" si="47"/>
        <v/>
      </c>
      <c r="J147" s="4" t="str">
        <f t="shared" si="48"/>
        <v/>
      </c>
      <c r="K147" s="5" t="str">
        <f>IF(OR(B147="",C147=""),"",SUMIFS($H$4:H146,$B$4:B146,B147,$C$4:C146,C147))</f>
        <v/>
      </c>
      <c r="L147" s="4" t="str">
        <f>IF(OR(B147="",C147=""),"",IFERROR(LOOKUP(2,1/(($B$4:B146=B147)*($C$4:C146=C147)),$O$4:O146),0))</f>
        <v/>
      </c>
      <c r="M147" s="4" t="e">
        <f t="shared" si="37"/>
        <v>#VALUE!</v>
      </c>
      <c r="N147" s="4">
        <f t="shared" si="38"/>
        <v>0</v>
      </c>
      <c r="O147" s="4" t="str">
        <f t="shared" si="39"/>
        <v/>
      </c>
      <c r="P147" s="5" t="str">
        <f t="shared" si="40"/>
        <v/>
      </c>
      <c r="Q147" s="4" t="e">
        <f t="shared" si="41"/>
        <v>#VALUE!</v>
      </c>
      <c r="R147" s="3"/>
      <c r="S147" t="str">
        <f t="shared" si="49"/>
        <v/>
      </c>
    </row>
    <row r="148" spans="1:19" x14ac:dyDescent="0.4">
      <c r="A148" s="3"/>
      <c r="B148" s="3"/>
      <c r="C148" s="3"/>
      <c r="D148" s="3"/>
      <c r="E148" s="3"/>
      <c r="F148" s="3"/>
      <c r="G148" s="3"/>
      <c r="H148" t="str">
        <f t="shared" si="46"/>
        <v/>
      </c>
      <c r="I148" s="4" t="str">
        <f t="shared" si="47"/>
        <v/>
      </c>
      <c r="J148" s="4" t="str">
        <f t="shared" si="48"/>
        <v/>
      </c>
      <c r="K148" s="5" t="str">
        <f>IF(OR(B148="",C148=""),"",SUMIFS($H$4:H147,$B$4:B147,B148,$C$4:C147,C148))</f>
        <v/>
      </c>
      <c r="L148" s="4" t="str">
        <f>IF(OR(B148="",C148=""),"",IFERROR(LOOKUP(2,1/(($B$4:B147=B148)*($C$4:C147=C148)),$O$4:O147),0))</f>
        <v/>
      </c>
      <c r="M148" s="4" t="e">
        <f t="shared" si="37"/>
        <v>#VALUE!</v>
      </c>
      <c r="N148" s="4">
        <f t="shared" si="38"/>
        <v>0</v>
      </c>
      <c r="O148" s="4" t="str">
        <f t="shared" si="39"/>
        <v/>
      </c>
      <c r="P148" s="5" t="str">
        <f t="shared" si="40"/>
        <v/>
      </c>
      <c r="Q148" s="4" t="e">
        <f t="shared" si="41"/>
        <v>#VALUE!</v>
      </c>
      <c r="R148" s="3"/>
      <c r="S148" t="str">
        <f t="shared" si="49"/>
        <v/>
      </c>
    </row>
    <row r="149" spans="1:19" x14ac:dyDescent="0.4">
      <c r="A149" s="3"/>
      <c r="B149" s="3"/>
      <c r="C149" s="3"/>
      <c r="D149" s="3"/>
      <c r="E149" s="3"/>
      <c r="F149" s="3"/>
      <c r="G149" s="3"/>
      <c r="H149" t="str">
        <f t="shared" si="46"/>
        <v/>
      </c>
      <c r="I149" s="4" t="str">
        <f t="shared" si="47"/>
        <v/>
      </c>
      <c r="J149" s="4" t="str">
        <f t="shared" si="48"/>
        <v/>
      </c>
      <c r="K149" s="5" t="str">
        <f>IF(OR(B149="",C149=""),"",SUMIFS($H$4:H148,$B$4:B148,B149,$C$4:C148,C149))</f>
        <v/>
      </c>
      <c r="L149" s="4" t="str">
        <f>IF(OR(B149="",C149=""),"",IFERROR(LOOKUP(2,1/(($B$4:B148=B149)*($C$4:C148=C149)),$O$4:O148),0))</f>
        <v/>
      </c>
      <c r="M149" s="4" t="e">
        <f t="shared" si="37"/>
        <v>#VALUE!</v>
      </c>
      <c r="N149" s="4">
        <f t="shared" si="38"/>
        <v>0</v>
      </c>
      <c r="O149" s="4" t="str">
        <f t="shared" si="39"/>
        <v/>
      </c>
      <c r="P149" s="5" t="str">
        <f t="shared" si="40"/>
        <v/>
      </c>
      <c r="Q149" s="4" t="e">
        <f t="shared" si="41"/>
        <v>#VALUE!</v>
      </c>
      <c r="R149" s="3"/>
      <c r="S149" t="str">
        <f t="shared" si="49"/>
        <v/>
      </c>
    </row>
    <row r="150" spans="1:19" x14ac:dyDescent="0.4">
      <c r="A150" s="3"/>
      <c r="B150" s="3"/>
      <c r="C150" s="3"/>
      <c r="D150" s="3"/>
      <c r="E150" s="3"/>
      <c r="F150" s="3"/>
      <c r="G150" s="3"/>
      <c r="H150" t="str">
        <f t="shared" si="46"/>
        <v/>
      </c>
      <c r="I150" s="4" t="str">
        <f t="shared" si="47"/>
        <v/>
      </c>
      <c r="J150" s="4" t="str">
        <f t="shared" si="48"/>
        <v/>
      </c>
      <c r="K150" s="5" t="str">
        <f>IF(OR(B150="",C150=""),"",SUMIFS($H$4:H149,$B$4:B149,B150,$C$4:C149,C150))</f>
        <v/>
      </c>
      <c r="L150" s="4" t="str">
        <f>IF(OR(B150="",C150=""),"",IFERROR(LOOKUP(2,1/(($B$4:B149=B150)*($C$4:C149=C150)),$O$4:O149),0))</f>
        <v/>
      </c>
      <c r="M150" s="4" t="e">
        <f t="shared" si="37"/>
        <v>#VALUE!</v>
      </c>
      <c r="N150" s="4">
        <f t="shared" si="38"/>
        <v>0</v>
      </c>
      <c r="O150" s="4" t="str">
        <f t="shared" si="39"/>
        <v/>
      </c>
      <c r="P150" s="5" t="str">
        <f t="shared" si="40"/>
        <v/>
      </c>
      <c r="Q150" s="4" t="e">
        <f t="shared" si="41"/>
        <v>#VALUE!</v>
      </c>
      <c r="R150" s="3"/>
      <c r="S150" t="str">
        <f t="shared" si="49"/>
        <v/>
      </c>
    </row>
    <row r="151" spans="1:19" x14ac:dyDescent="0.4">
      <c r="A151" s="3"/>
      <c r="B151" s="3"/>
      <c r="C151" s="3"/>
      <c r="D151" s="3"/>
      <c r="E151" s="3"/>
      <c r="F151" s="3"/>
      <c r="G151" s="3"/>
      <c r="H151" t="str">
        <f t="shared" si="46"/>
        <v/>
      </c>
      <c r="I151" s="4" t="str">
        <f t="shared" si="47"/>
        <v/>
      </c>
      <c r="J151" s="4" t="str">
        <f t="shared" si="48"/>
        <v/>
      </c>
      <c r="K151" s="5" t="str">
        <f>IF(OR(B151="",C151=""),"",SUMIFS($H$4:H150,$B$4:B150,B151,$C$4:C150,C151))</f>
        <v/>
      </c>
      <c r="L151" s="4" t="str">
        <f>IF(OR(B151="",C151=""),"",IFERROR(LOOKUP(2,1/(($B$4:B150=B151)*($C$4:C150=C151)),$O$4:O150),0))</f>
        <v/>
      </c>
      <c r="M151" s="4" t="e">
        <f t="shared" si="37"/>
        <v>#VALUE!</v>
      </c>
      <c r="N151" s="4">
        <f t="shared" si="38"/>
        <v>0</v>
      </c>
      <c r="O151" s="4" t="str">
        <f t="shared" si="39"/>
        <v/>
      </c>
      <c r="P151" s="5" t="str">
        <f t="shared" si="40"/>
        <v/>
      </c>
      <c r="Q151" s="4" t="e">
        <f t="shared" si="41"/>
        <v>#VALUE!</v>
      </c>
      <c r="R151" s="3"/>
      <c r="S151" t="str">
        <f t="shared" si="49"/>
        <v/>
      </c>
    </row>
    <row r="152" spans="1:19" x14ac:dyDescent="0.4">
      <c r="A152" s="3"/>
      <c r="B152" s="3"/>
      <c r="C152" s="3"/>
      <c r="D152" s="3"/>
      <c r="E152" s="3"/>
      <c r="F152" s="3"/>
      <c r="G152" s="3"/>
      <c r="H152" t="str">
        <f t="shared" si="46"/>
        <v/>
      </c>
      <c r="I152" s="4" t="str">
        <f t="shared" si="47"/>
        <v/>
      </c>
      <c r="J152" s="4" t="str">
        <f t="shared" si="48"/>
        <v/>
      </c>
      <c r="K152" s="5" t="str">
        <f>IF(OR(B152="",C152=""),"",SUMIFS($H$4:H151,$B$4:B151,B152,$C$4:C151,C152))</f>
        <v/>
      </c>
      <c r="L152" s="4" t="str">
        <f>IF(OR(B152="",C152=""),"",IFERROR(LOOKUP(2,1/(($B$4:B151=B152)*($C$4:C151=C152)),$O$4:O151),0))</f>
        <v/>
      </c>
      <c r="M152" s="4" t="e">
        <f t="shared" si="37"/>
        <v>#VALUE!</v>
      </c>
      <c r="N152" s="4">
        <f t="shared" si="38"/>
        <v>0</v>
      </c>
      <c r="O152" s="4" t="str">
        <f t="shared" si="39"/>
        <v/>
      </c>
      <c r="P152" s="5" t="str">
        <f t="shared" si="40"/>
        <v/>
      </c>
      <c r="Q152" s="4" t="e">
        <f t="shared" si="41"/>
        <v>#VALUE!</v>
      </c>
      <c r="R152" s="3"/>
      <c r="S152" t="str">
        <f t="shared" si="49"/>
        <v/>
      </c>
    </row>
    <row r="153" spans="1:19" x14ac:dyDescent="0.4">
      <c r="A153" s="3"/>
      <c r="B153" s="3"/>
      <c r="C153" s="3"/>
      <c r="D153" s="3"/>
      <c r="E153" s="3"/>
      <c r="F153" s="3"/>
      <c r="G153" s="3"/>
      <c r="H153" t="str">
        <f t="shared" si="46"/>
        <v/>
      </c>
      <c r="I153" s="4" t="str">
        <f t="shared" si="47"/>
        <v/>
      </c>
      <c r="J153" s="4" t="str">
        <f t="shared" si="48"/>
        <v/>
      </c>
      <c r="K153" s="5" t="str">
        <f>IF(OR(B153="",C153=""),"",SUMIFS($H$4:H152,$B$4:B152,B153,$C$4:C152,C153))</f>
        <v/>
      </c>
      <c r="L153" s="4" t="str">
        <f>IF(OR(B153="",C153=""),"",IFERROR(LOOKUP(2,1/(($B$4:B152=B153)*($C$4:C152=C153)),$O$4:O152),0))</f>
        <v/>
      </c>
      <c r="M153" s="4" t="e">
        <f t="shared" si="37"/>
        <v>#VALUE!</v>
      </c>
      <c r="N153" s="4">
        <f t="shared" si="38"/>
        <v>0</v>
      </c>
      <c r="O153" s="4" t="str">
        <f t="shared" si="39"/>
        <v/>
      </c>
      <c r="P153" s="5" t="str">
        <f t="shared" si="40"/>
        <v/>
      </c>
      <c r="Q153" s="4" t="e">
        <f t="shared" si="41"/>
        <v>#VALUE!</v>
      </c>
      <c r="R153" s="3"/>
      <c r="S153" t="str">
        <f t="shared" si="49"/>
        <v/>
      </c>
    </row>
    <row r="154" spans="1:19" x14ac:dyDescent="0.4">
      <c r="A154" s="3"/>
      <c r="B154" s="3"/>
      <c r="C154" s="3"/>
      <c r="D154" s="3"/>
      <c r="E154" s="3"/>
      <c r="F154" s="3"/>
      <c r="G154" s="3"/>
      <c r="H154" t="str">
        <f t="shared" si="46"/>
        <v/>
      </c>
      <c r="I154" s="4" t="str">
        <f t="shared" si="47"/>
        <v/>
      </c>
      <c r="J154" s="4" t="str">
        <f t="shared" si="48"/>
        <v/>
      </c>
      <c r="K154" s="5" t="str">
        <f>IF(OR(B154="",C154=""),"",SUMIFS($H$4:H153,$B$4:B153,B154,$C$4:C153,C154))</f>
        <v/>
      </c>
      <c r="L154" s="4" t="str">
        <f>IF(OR(B154="",C154=""),"",IFERROR(LOOKUP(2,1/(($B$4:B153=B154)*($C$4:C153=C154)),$O$4:O153),0))</f>
        <v/>
      </c>
      <c r="M154" s="4" t="e">
        <f t="shared" si="37"/>
        <v>#VALUE!</v>
      </c>
      <c r="N154" s="4">
        <f t="shared" si="38"/>
        <v>0</v>
      </c>
      <c r="O154" s="4" t="str">
        <f t="shared" si="39"/>
        <v/>
      </c>
      <c r="P154" s="5" t="str">
        <f t="shared" si="40"/>
        <v/>
      </c>
      <c r="Q154" s="4" t="e">
        <f t="shared" si="41"/>
        <v>#VALUE!</v>
      </c>
      <c r="R154" s="3"/>
      <c r="S154" t="str">
        <f t="shared" si="49"/>
        <v/>
      </c>
    </row>
    <row r="155" spans="1:19" x14ac:dyDescent="0.4">
      <c r="A155" s="3"/>
      <c r="B155" s="3"/>
      <c r="C155" s="3"/>
      <c r="D155" s="3"/>
      <c r="E155" s="3"/>
      <c r="F155" s="3"/>
      <c r="G155" s="3"/>
      <c r="H155" t="str">
        <f t="shared" si="46"/>
        <v/>
      </c>
      <c r="I155" s="4" t="str">
        <f t="shared" si="47"/>
        <v/>
      </c>
      <c r="J155" s="4" t="str">
        <f t="shared" si="48"/>
        <v/>
      </c>
      <c r="K155" s="5" t="str">
        <f>IF(OR(B155="",C155=""),"",SUMIFS($H$4:H154,$B$4:B154,B155,$C$4:C154,C155))</f>
        <v/>
      </c>
      <c r="L155" s="4" t="str">
        <f>IF(OR(B155="",C155=""),"",IFERROR(LOOKUP(2,1/(($B$4:B154=B155)*($C$4:C154=C155)),$O$4:O154),0))</f>
        <v/>
      </c>
      <c r="M155" s="4" t="e">
        <f t="shared" si="37"/>
        <v>#VALUE!</v>
      </c>
      <c r="N155" s="4">
        <f t="shared" si="38"/>
        <v>0</v>
      </c>
      <c r="O155" s="4" t="str">
        <f t="shared" si="39"/>
        <v/>
      </c>
      <c r="P155" s="5" t="str">
        <f t="shared" si="40"/>
        <v/>
      </c>
      <c r="Q155" s="4" t="e">
        <f t="shared" si="41"/>
        <v>#VALUE!</v>
      </c>
      <c r="R155" s="3"/>
      <c r="S155" t="str">
        <f t="shared" si="49"/>
        <v/>
      </c>
    </row>
    <row r="156" spans="1:19" x14ac:dyDescent="0.4">
      <c r="A156" s="3"/>
      <c r="B156" s="3"/>
      <c r="C156" s="3"/>
      <c r="D156" s="3"/>
      <c r="E156" s="3"/>
      <c r="F156" s="3"/>
      <c r="G156" s="3"/>
      <c r="H156" t="str">
        <f t="shared" si="46"/>
        <v/>
      </c>
      <c r="I156" s="4" t="str">
        <f t="shared" si="47"/>
        <v/>
      </c>
      <c r="J156" s="4" t="str">
        <f t="shared" si="48"/>
        <v/>
      </c>
      <c r="K156" s="5" t="str">
        <f>IF(OR(B156="",C156=""),"",SUMIFS($H$4:H155,$B$4:B155,B156,$C$4:C155,C156))</f>
        <v/>
      </c>
      <c r="L156" s="4" t="str">
        <f>IF(OR(B156="",C156=""),"",IFERROR(LOOKUP(2,1/(($B$4:B155=B156)*($C$4:C155=C156)),$O$4:O155),0))</f>
        <v/>
      </c>
      <c r="M156" s="4" t="e">
        <f t="shared" si="37"/>
        <v>#VALUE!</v>
      </c>
      <c r="N156" s="4">
        <f t="shared" si="38"/>
        <v>0</v>
      </c>
      <c r="O156" s="4" t="str">
        <f t="shared" si="39"/>
        <v/>
      </c>
      <c r="P156" s="5" t="str">
        <f t="shared" si="40"/>
        <v/>
      </c>
      <c r="Q156" s="4" t="e">
        <f t="shared" si="41"/>
        <v>#VALUE!</v>
      </c>
      <c r="R156" s="3"/>
      <c r="S156" t="str">
        <f t="shared" si="49"/>
        <v/>
      </c>
    </row>
    <row r="157" spans="1:19" x14ac:dyDescent="0.4">
      <c r="A157" s="3"/>
      <c r="B157" s="3"/>
      <c r="C157" s="3"/>
      <c r="D157" s="3"/>
      <c r="E157" s="3"/>
      <c r="F157" s="3"/>
      <c r="G157" s="3"/>
      <c r="H157" t="str">
        <f t="shared" si="46"/>
        <v/>
      </c>
      <c r="I157" s="4" t="str">
        <f t="shared" si="47"/>
        <v/>
      </c>
      <c r="J157" s="4" t="str">
        <f t="shared" si="48"/>
        <v/>
      </c>
      <c r="K157" s="5" t="str">
        <f>IF(OR(B157="",C157=""),"",SUMIFS($H$4:H156,$B$4:B156,B157,$C$4:C156,C157))</f>
        <v/>
      </c>
      <c r="L157" s="4" t="str">
        <f>IF(OR(B157="",C157=""),"",IFERROR(LOOKUP(2,1/(($B$4:B156=B157)*($C$4:C156=C157)),$O$4:O156),0))</f>
        <v/>
      </c>
      <c r="M157" s="4" t="e">
        <f t="shared" si="37"/>
        <v>#VALUE!</v>
      </c>
      <c r="N157" s="4">
        <f t="shared" si="38"/>
        <v>0</v>
      </c>
      <c r="O157" s="4" t="str">
        <f t="shared" si="39"/>
        <v/>
      </c>
      <c r="P157" s="5" t="str">
        <f t="shared" si="40"/>
        <v/>
      </c>
      <c r="Q157" s="4" t="e">
        <f t="shared" si="41"/>
        <v>#VALUE!</v>
      </c>
      <c r="R157" s="3"/>
      <c r="S157" t="str">
        <f t="shared" si="49"/>
        <v/>
      </c>
    </row>
    <row r="158" spans="1:19" x14ac:dyDescent="0.4">
      <c r="A158" s="3"/>
      <c r="B158" s="3"/>
      <c r="C158" s="3"/>
      <c r="D158" s="3"/>
      <c r="E158" s="3"/>
      <c r="F158" s="3"/>
      <c r="G158" s="3"/>
      <c r="H158" t="str">
        <f t="shared" si="46"/>
        <v/>
      </c>
      <c r="I158" s="4" t="str">
        <f t="shared" si="47"/>
        <v/>
      </c>
      <c r="J158" s="4" t="str">
        <f t="shared" si="48"/>
        <v/>
      </c>
      <c r="K158" s="5" t="str">
        <f>IF(OR(B158="",C158=""),"",SUMIFS($H$4:H157,$B$4:B157,B158,$C$4:C157,C158))</f>
        <v/>
      </c>
      <c r="L158" s="4" t="str">
        <f>IF(OR(B158="",C158=""),"",IFERROR(LOOKUP(2,1/(($B$4:B157=B158)*($C$4:C157=C158)),$O$4:O157),0))</f>
        <v/>
      </c>
      <c r="M158" s="4" t="e">
        <f t="shared" si="37"/>
        <v>#VALUE!</v>
      </c>
      <c r="N158" s="4">
        <f t="shared" si="38"/>
        <v>0</v>
      </c>
      <c r="O158" s="4" t="str">
        <f t="shared" si="39"/>
        <v/>
      </c>
      <c r="P158" s="5" t="str">
        <f t="shared" si="40"/>
        <v/>
      </c>
      <c r="Q158" s="4" t="e">
        <f t="shared" si="41"/>
        <v>#VALUE!</v>
      </c>
      <c r="R158" s="3"/>
      <c r="S158" t="str">
        <f t="shared" si="49"/>
        <v/>
      </c>
    </row>
    <row r="159" spans="1:19" x14ac:dyDescent="0.4">
      <c r="A159" s="3"/>
      <c r="B159" s="3"/>
      <c r="C159" s="3"/>
      <c r="D159" s="3"/>
      <c r="E159" s="3"/>
      <c r="F159" s="3"/>
      <c r="G159" s="3"/>
      <c r="H159" t="str">
        <f t="shared" si="46"/>
        <v/>
      </c>
      <c r="I159" s="4" t="str">
        <f t="shared" si="47"/>
        <v/>
      </c>
      <c r="J159" s="4" t="str">
        <f t="shared" si="48"/>
        <v/>
      </c>
      <c r="K159" s="5" t="str">
        <f>IF(OR(B159="",C159=""),"",SUMIFS($H$4:H158,$B$4:B158,B159,$C$4:C158,C159))</f>
        <v/>
      </c>
      <c r="L159" s="4" t="str">
        <f>IF(OR(B159="",C159=""),"",IFERROR(LOOKUP(2,1/(($B$4:B158=B159)*($C$4:C158=C159)),$O$4:O158),0))</f>
        <v/>
      </c>
      <c r="M159" s="4" t="e">
        <f t="shared" si="37"/>
        <v>#VALUE!</v>
      </c>
      <c r="N159" s="4">
        <f t="shared" si="38"/>
        <v>0</v>
      </c>
      <c r="O159" s="4" t="str">
        <f t="shared" si="39"/>
        <v/>
      </c>
      <c r="P159" s="5" t="str">
        <f t="shared" si="40"/>
        <v/>
      </c>
      <c r="Q159" s="4" t="e">
        <f t="shared" si="41"/>
        <v>#VALUE!</v>
      </c>
      <c r="R159" s="3"/>
      <c r="S159" t="str">
        <f t="shared" si="49"/>
        <v/>
      </c>
    </row>
    <row r="160" spans="1:19" x14ac:dyDescent="0.4">
      <c r="A160" s="3"/>
      <c r="B160" s="3"/>
      <c r="C160" s="3"/>
      <c r="D160" s="3"/>
      <c r="E160" s="3"/>
      <c r="F160" s="3"/>
      <c r="G160" s="3"/>
      <c r="H160" t="str">
        <f t="shared" si="46"/>
        <v/>
      </c>
      <c r="I160" s="4" t="str">
        <f t="shared" si="47"/>
        <v/>
      </c>
      <c r="J160" s="4" t="str">
        <f t="shared" si="48"/>
        <v/>
      </c>
      <c r="K160" s="5" t="str">
        <f>IF(OR(B160="",C160=""),"",SUMIFS($H$4:H159,$B$4:B159,B160,$C$4:C159,C160))</f>
        <v/>
      </c>
      <c r="L160" s="4" t="str">
        <f>IF(OR(B160="",C160=""),"",IFERROR(LOOKUP(2,1/(($B$4:B159=B160)*($C$4:C159=C160)),$O$4:O159),0))</f>
        <v/>
      </c>
      <c r="M160" s="4" t="e">
        <f t="shared" si="37"/>
        <v>#VALUE!</v>
      </c>
      <c r="N160" s="4">
        <f t="shared" si="38"/>
        <v>0</v>
      </c>
      <c r="O160" s="4" t="str">
        <f t="shared" si="39"/>
        <v/>
      </c>
      <c r="P160" s="5" t="str">
        <f t="shared" si="40"/>
        <v/>
      </c>
      <c r="Q160" s="4" t="e">
        <f t="shared" si="41"/>
        <v>#VALUE!</v>
      </c>
      <c r="R160" s="3"/>
      <c r="S160" t="str">
        <f t="shared" si="49"/>
        <v/>
      </c>
    </row>
    <row r="161" spans="1:19" x14ac:dyDescent="0.4">
      <c r="A161" s="3"/>
      <c r="B161" s="3"/>
      <c r="C161" s="3"/>
      <c r="D161" s="3"/>
      <c r="E161" s="3"/>
      <c r="F161" s="3"/>
      <c r="G161" s="3"/>
      <c r="H161" t="str">
        <f t="shared" si="46"/>
        <v/>
      </c>
      <c r="I161" s="4" t="str">
        <f t="shared" si="47"/>
        <v/>
      </c>
      <c r="J161" s="4" t="str">
        <f t="shared" si="48"/>
        <v/>
      </c>
      <c r="K161" s="5" t="str">
        <f>IF(OR(B161="",C161=""),"",SUMIFS($H$4:H160,$B$4:B160,B161,$C$4:C160,C161))</f>
        <v/>
      </c>
      <c r="L161" s="4" t="str">
        <f>IF(OR(B161="",C161=""),"",IFERROR(LOOKUP(2,1/(($B$4:B160=B161)*($C$4:C160=C161)),$O$4:O160),0))</f>
        <v/>
      </c>
      <c r="M161" s="4" t="e">
        <f t="shared" si="37"/>
        <v>#VALUE!</v>
      </c>
      <c r="N161" s="4">
        <f t="shared" si="38"/>
        <v>0</v>
      </c>
      <c r="O161" s="4" t="str">
        <f t="shared" si="39"/>
        <v/>
      </c>
      <c r="P161" s="5" t="str">
        <f t="shared" si="40"/>
        <v/>
      </c>
      <c r="Q161" s="4" t="e">
        <f t="shared" si="41"/>
        <v>#VALUE!</v>
      </c>
      <c r="R161" s="3"/>
      <c r="S161" t="str">
        <f t="shared" si="49"/>
        <v/>
      </c>
    </row>
    <row r="162" spans="1:19" x14ac:dyDescent="0.4">
      <c r="A162" s="3"/>
      <c r="B162" s="3"/>
      <c r="C162" s="3"/>
      <c r="D162" s="3"/>
      <c r="E162" s="3"/>
      <c r="F162" s="3"/>
      <c r="G162" s="3"/>
      <c r="H162" t="str">
        <f t="shared" si="46"/>
        <v/>
      </c>
      <c r="I162" s="4" t="str">
        <f t="shared" si="47"/>
        <v/>
      </c>
      <c r="J162" s="4" t="str">
        <f t="shared" si="48"/>
        <v/>
      </c>
      <c r="K162" s="5" t="str">
        <f>IF(OR(B162="",C162=""),"",SUMIFS($H$4:H161,$B$4:B161,B162,$C$4:C161,C162))</f>
        <v/>
      </c>
      <c r="L162" s="4" t="str">
        <f>IF(OR(B162="",C162=""),"",IFERROR(LOOKUP(2,1/(($B$4:B161=B162)*($C$4:C161=C162)),$O$4:O161),0))</f>
        <v/>
      </c>
      <c r="M162" s="4" t="e">
        <f t="shared" si="37"/>
        <v>#VALUE!</v>
      </c>
      <c r="N162" s="4">
        <f t="shared" si="38"/>
        <v>0</v>
      </c>
      <c r="O162" s="4" t="str">
        <f t="shared" si="39"/>
        <v/>
      </c>
      <c r="P162" s="5" t="str">
        <f t="shared" si="40"/>
        <v/>
      </c>
      <c r="Q162" s="4" t="e">
        <f t="shared" si="41"/>
        <v>#VALUE!</v>
      </c>
      <c r="R162" s="3"/>
      <c r="S162" t="str">
        <f t="shared" si="49"/>
        <v/>
      </c>
    </row>
    <row r="163" spans="1:19" x14ac:dyDescent="0.4">
      <c r="A163" s="3"/>
      <c r="B163" s="3"/>
      <c r="C163" s="3"/>
      <c r="D163" s="3"/>
      <c r="E163" s="3"/>
      <c r="F163" s="3"/>
      <c r="G163" s="3"/>
      <c r="H163" t="str">
        <f t="shared" si="46"/>
        <v/>
      </c>
      <c r="I163" s="4" t="str">
        <f t="shared" si="47"/>
        <v/>
      </c>
      <c r="J163" s="4" t="str">
        <f t="shared" si="48"/>
        <v/>
      </c>
      <c r="K163" s="5" t="str">
        <f>IF(OR(B163="",C163=""),"",SUMIFS($H$4:H162,$B$4:B162,B163,$C$4:C162,C163))</f>
        <v/>
      </c>
      <c r="L163" s="4" t="str">
        <f>IF(OR(B163="",C163=""),"",IFERROR(LOOKUP(2,1/(($B$4:B162=B163)*($C$4:C162=C163)),$O$4:O162),0))</f>
        <v/>
      </c>
      <c r="M163" s="4" t="e">
        <f t="shared" si="37"/>
        <v>#VALUE!</v>
      </c>
      <c r="N163" s="4">
        <f t="shared" si="38"/>
        <v>0</v>
      </c>
      <c r="O163" s="4" t="str">
        <f t="shared" si="39"/>
        <v/>
      </c>
      <c r="P163" s="5" t="str">
        <f t="shared" si="40"/>
        <v/>
      </c>
      <c r="Q163" s="4" t="e">
        <f t="shared" si="41"/>
        <v>#VALUE!</v>
      </c>
      <c r="R163" s="3"/>
      <c r="S163" t="str">
        <f t="shared" si="49"/>
        <v/>
      </c>
    </row>
    <row r="164" spans="1:19" x14ac:dyDescent="0.4">
      <c r="A164" s="3"/>
      <c r="B164" s="3"/>
      <c r="C164" s="3"/>
      <c r="D164" s="3"/>
      <c r="E164" s="3"/>
      <c r="F164" s="3"/>
      <c r="G164" s="3"/>
      <c r="H164" t="str">
        <f t="shared" si="46"/>
        <v/>
      </c>
      <c r="I164" s="4" t="str">
        <f t="shared" si="47"/>
        <v/>
      </c>
      <c r="J164" s="4" t="str">
        <f t="shared" si="48"/>
        <v/>
      </c>
      <c r="K164" s="5" t="str">
        <f>IF(OR(B164="",C164=""),"",SUMIFS($H$4:H163,$B$4:B163,B164,$C$4:C163,C164))</f>
        <v/>
      </c>
      <c r="L164" s="4" t="str">
        <f>IF(OR(B164="",C164=""),"",IFERROR(LOOKUP(2,1/(($B$4:B163=B164)*($C$4:C163=C164)),$O$4:O163),0))</f>
        <v/>
      </c>
      <c r="M164" s="4" t="e">
        <f t="shared" si="37"/>
        <v>#VALUE!</v>
      </c>
      <c r="N164" s="4">
        <f t="shared" si="38"/>
        <v>0</v>
      </c>
      <c r="O164" s="4" t="str">
        <f t="shared" si="39"/>
        <v/>
      </c>
      <c r="P164" s="5" t="str">
        <f t="shared" si="40"/>
        <v/>
      </c>
      <c r="Q164" s="4" t="e">
        <f t="shared" si="41"/>
        <v>#VALUE!</v>
      </c>
      <c r="R164" s="3"/>
      <c r="S164" t="str">
        <f t="shared" si="49"/>
        <v/>
      </c>
    </row>
    <row r="165" spans="1:19" x14ac:dyDescent="0.4">
      <c r="A165" s="3"/>
      <c r="B165" s="3"/>
      <c r="C165" s="3"/>
      <c r="D165" s="3"/>
      <c r="E165" s="3"/>
      <c r="F165" s="3"/>
      <c r="G165" s="3"/>
      <c r="H165" t="str">
        <f t="shared" si="46"/>
        <v/>
      </c>
      <c r="I165" s="4" t="str">
        <f t="shared" si="47"/>
        <v/>
      </c>
      <c r="J165" s="4" t="str">
        <f t="shared" si="48"/>
        <v/>
      </c>
      <c r="K165" s="5" t="str">
        <f>IF(OR(B165="",C165=""),"",SUMIFS($H$4:H164,$B$4:B164,B165,$C$4:C164,C165))</f>
        <v/>
      </c>
      <c r="L165" s="4" t="str">
        <f>IF(OR(B165="",C165=""),"",IFERROR(LOOKUP(2,1/(($B$4:B164=B165)*($C$4:C164=C165)),$O$4:O164),0))</f>
        <v/>
      </c>
      <c r="M165" s="4" t="e">
        <f t="shared" ref="M165:M206" si="50">IF(K165=0,0,L165/K165)</f>
        <v>#VALUE!</v>
      </c>
      <c r="N165" s="4">
        <f t="shared" ref="N165:N206" si="51">IF(H165&lt;0,ABS(H165)*(F165-M165)-G165,0)</f>
        <v>0</v>
      </c>
      <c r="O165" s="4" t="str">
        <f t="shared" ref="O165:O206" si="52">IF(H165="","",IF(H165&gt;0,L165+I165+G165,MAX(0,L165-ABS(H165)*M165)))</f>
        <v/>
      </c>
      <c r="P165" s="5" t="str">
        <f t="shared" ref="P165:P206" si="53">IF(H165="","",K165+H165)</f>
        <v/>
      </c>
      <c r="Q165" s="4" t="e">
        <f t="shared" ref="Q165:Q206" si="54">IF(P165=0,0,O165/P165)</f>
        <v>#VALUE!</v>
      </c>
      <c r="R165" s="3"/>
      <c r="S165" t="str">
        <f t="shared" si="49"/>
        <v/>
      </c>
    </row>
    <row r="166" spans="1:19" x14ac:dyDescent="0.4">
      <c r="A166" s="3"/>
      <c r="B166" s="3"/>
      <c r="C166" s="3"/>
      <c r="D166" s="3"/>
      <c r="E166" s="3"/>
      <c r="F166" s="3"/>
      <c r="G166" s="3"/>
      <c r="H166" t="str">
        <f t="shared" si="46"/>
        <v/>
      </c>
      <c r="I166" s="4" t="str">
        <f t="shared" si="47"/>
        <v/>
      </c>
      <c r="J166" s="4" t="str">
        <f t="shared" si="48"/>
        <v/>
      </c>
      <c r="K166" s="5" t="str">
        <f>IF(OR(B166="",C166=""),"",SUMIFS($H$4:H165,$B$4:B165,B166,$C$4:C165,C166))</f>
        <v/>
      </c>
      <c r="L166" s="4" t="str">
        <f>IF(OR(B166="",C166=""),"",IFERROR(LOOKUP(2,1/(($B$4:B165=B166)*($C$4:C165=C166)),$O$4:O165),0))</f>
        <v/>
      </c>
      <c r="M166" s="4" t="e">
        <f t="shared" si="50"/>
        <v>#VALUE!</v>
      </c>
      <c r="N166" s="4">
        <f t="shared" si="51"/>
        <v>0</v>
      </c>
      <c r="O166" s="4" t="str">
        <f t="shared" si="52"/>
        <v/>
      </c>
      <c r="P166" s="5" t="str">
        <f t="shared" si="53"/>
        <v/>
      </c>
      <c r="Q166" s="4" t="e">
        <f t="shared" si="54"/>
        <v>#VALUE!</v>
      </c>
      <c r="R166" s="3"/>
      <c r="S166" t="str">
        <f t="shared" si="49"/>
        <v/>
      </c>
    </row>
    <row r="167" spans="1:19" x14ac:dyDescent="0.4">
      <c r="A167" s="3"/>
      <c r="B167" s="3"/>
      <c r="C167" s="3"/>
      <c r="D167" s="3"/>
      <c r="E167" s="3"/>
      <c r="F167" s="3"/>
      <c r="G167" s="3"/>
      <c r="H167" t="str">
        <f t="shared" ref="H167:H198" si="55">IF(OR(D167="",E167=""),"",IF(D167="BUY",E167,-E167))</f>
        <v/>
      </c>
      <c r="I167" s="4" t="str">
        <f t="shared" ref="I167:I198" si="56">IF(H167="","",ABS(H167)*F167)</f>
        <v/>
      </c>
      <c r="J167" s="4" t="str">
        <f t="shared" ref="J167:J198" si="57">IF(H167="","",-H167*F167-G167)</f>
        <v/>
      </c>
      <c r="K167" s="5" t="str">
        <f>IF(OR(B167="",C167=""),"",SUMIFS($H$4:H166,$B$4:B166,B167,$C$4:C166,C167))</f>
        <v/>
      </c>
      <c r="L167" s="4" t="str">
        <f>IF(OR(B167="",C167=""),"",IFERROR(LOOKUP(2,1/(($B$4:B166=B167)*($C$4:C166=C167)),$O$4:O166),0))</f>
        <v/>
      </c>
      <c r="M167" s="4" t="e">
        <f t="shared" si="50"/>
        <v>#VALUE!</v>
      </c>
      <c r="N167" s="4">
        <f t="shared" si="51"/>
        <v>0</v>
      </c>
      <c r="O167" s="4" t="str">
        <f t="shared" si="52"/>
        <v/>
      </c>
      <c r="P167" s="5" t="str">
        <f t="shared" si="53"/>
        <v/>
      </c>
      <c r="Q167" s="4" t="e">
        <f t="shared" si="54"/>
        <v>#VALUE!</v>
      </c>
      <c r="R167" s="3"/>
      <c r="S167" t="str">
        <f t="shared" ref="S167:S198" si="58">IF(H167="","",IF(P167&lt;0,"ERROR: Over-sold",IF(AND(H167&lt;0,K167=0),"ERROR: Sell w/o position","")))</f>
        <v/>
      </c>
    </row>
    <row r="168" spans="1:19" x14ac:dyDescent="0.4">
      <c r="A168" s="3"/>
      <c r="B168" s="3"/>
      <c r="C168" s="3"/>
      <c r="D168" s="3"/>
      <c r="E168" s="3"/>
      <c r="F168" s="3"/>
      <c r="G168" s="3"/>
      <c r="H168" t="str">
        <f t="shared" si="55"/>
        <v/>
      </c>
      <c r="I168" s="4" t="str">
        <f t="shared" si="56"/>
        <v/>
      </c>
      <c r="J168" s="4" t="str">
        <f t="shared" si="57"/>
        <v/>
      </c>
      <c r="K168" s="5" t="str">
        <f>IF(OR(B168="",C168=""),"",SUMIFS($H$4:H167,$B$4:B167,B168,$C$4:C167,C168))</f>
        <v/>
      </c>
      <c r="L168" s="4" t="str">
        <f>IF(OR(B168="",C168=""),"",IFERROR(LOOKUP(2,1/(($B$4:B167=B168)*($C$4:C167=C168)),$O$4:O167),0))</f>
        <v/>
      </c>
      <c r="M168" s="4" t="e">
        <f t="shared" si="50"/>
        <v>#VALUE!</v>
      </c>
      <c r="N168" s="4">
        <f t="shared" si="51"/>
        <v>0</v>
      </c>
      <c r="O168" s="4" t="str">
        <f t="shared" si="52"/>
        <v/>
      </c>
      <c r="P168" s="5" t="str">
        <f t="shared" si="53"/>
        <v/>
      </c>
      <c r="Q168" s="4" t="e">
        <f t="shared" si="54"/>
        <v>#VALUE!</v>
      </c>
      <c r="R168" s="3"/>
      <c r="S168" t="str">
        <f t="shared" si="58"/>
        <v/>
      </c>
    </row>
    <row r="169" spans="1:19" x14ac:dyDescent="0.4">
      <c r="A169" s="3"/>
      <c r="B169" s="3"/>
      <c r="C169" s="3"/>
      <c r="D169" s="3"/>
      <c r="E169" s="3"/>
      <c r="F169" s="3"/>
      <c r="G169" s="3"/>
      <c r="H169" t="str">
        <f t="shared" si="55"/>
        <v/>
      </c>
      <c r="I169" s="4" t="str">
        <f t="shared" si="56"/>
        <v/>
      </c>
      <c r="J169" s="4" t="str">
        <f t="shared" si="57"/>
        <v/>
      </c>
      <c r="K169" s="5" t="str">
        <f>IF(OR(B169="",C169=""),"",SUMIFS($H$4:H168,$B$4:B168,B169,$C$4:C168,C169))</f>
        <v/>
      </c>
      <c r="L169" s="4" t="str">
        <f>IF(OR(B169="",C169=""),"",IFERROR(LOOKUP(2,1/(($B$4:B168=B169)*($C$4:C168=C169)),$O$4:O168),0))</f>
        <v/>
      </c>
      <c r="M169" s="4" t="e">
        <f t="shared" si="50"/>
        <v>#VALUE!</v>
      </c>
      <c r="N169" s="4">
        <f t="shared" si="51"/>
        <v>0</v>
      </c>
      <c r="O169" s="4" t="str">
        <f t="shared" si="52"/>
        <v/>
      </c>
      <c r="P169" s="5" t="str">
        <f t="shared" si="53"/>
        <v/>
      </c>
      <c r="Q169" s="4" t="e">
        <f t="shared" si="54"/>
        <v>#VALUE!</v>
      </c>
      <c r="R169" s="3"/>
      <c r="S169" t="str">
        <f t="shared" si="58"/>
        <v/>
      </c>
    </row>
    <row r="170" spans="1:19" x14ac:dyDescent="0.4">
      <c r="A170" s="3"/>
      <c r="B170" s="3"/>
      <c r="C170" s="3"/>
      <c r="D170" s="3"/>
      <c r="E170" s="3"/>
      <c r="F170" s="3"/>
      <c r="G170" s="3"/>
      <c r="H170" t="str">
        <f t="shared" si="55"/>
        <v/>
      </c>
      <c r="I170" s="4" t="str">
        <f t="shared" si="56"/>
        <v/>
      </c>
      <c r="J170" s="4" t="str">
        <f t="shared" si="57"/>
        <v/>
      </c>
      <c r="K170" s="5" t="str">
        <f>IF(OR(B170="",C170=""),"",SUMIFS($H$4:H169,$B$4:B169,B170,$C$4:C169,C170))</f>
        <v/>
      </c>
      <c r="L170" s="4" t="str">
        <f>IF(OR(B170="",C170=""),"",IFERROR(LOOKUP(2,1/(($B$4:B169=B170)*($C$4:C169=C170)),$O$4:O169),0))</f>
        <v/>
      </c>
      <c r="M170" s="4" t="e">
        <f t="shared" si="50"/>
        <v>#VALUE!</v>
      </c>
      <c r="N170" s="4">
        <f t="shared" si="51"/>
        <v>0</v>
      </c>
      <c r="O170" s="4" t="str">
        <f t="shared" si="52"/>
        <v/>
      </c>
      <c r="P170" s="5" t="str">
        <f t="shared" si="53"/>
        <v/>
      </c>
      <c r="Q170" s="4" t="e">
        <f t="shared" si="54"/>
        <v>#VALUE!</v>
      </c>
      <c r="R170" s="3"/>
      <c r="S170" t="str">
        <f t="shared" si="58"/>
        <v/>
      </c>
    </row>
    <row r="171" spans="1:19" x14ac:dyDescent="0.4">
      <c r="A171" s="3"/>
      <c r="B171" s="3"/>
      <c r="C171" s="3"/>
      <c r="D171" s="3"/>
      <c r="E171" s="3"/>
      <c r="F171" s="3"/>
      <c r="G171" s="3"/>
      <c r="H171" t="str">
        <f t="shared" si="55"/>
        <v/>
      </c>
      <c r="I171" s="4" t="str">
        <f t="shared" si="56"/>
        <v/>
      </c>
      <c r="J171" s="4" t="str">
        <f t="shared" si="57"/>
        <v/>
      </c>
      <c r="K171" s="5" t="str">
        <f>IF(OR(B171="",C171=""),"",SUMIFS($H$4:H170,$B$4:B170,B171,$C$4:C170,C171))</f>
        <v/>
      </c>
      <c r="L171" s="4" t="str">
        <f>IF(OR(B171="",C171=""),"",IFERROR(LOOKUP(2,1/(($B$4:B170=B171)*($C$4:C170=C171)),$O$4:O170),0))</f>
        <v/>
      </c>
      <c r="M171" s="4" t="e">
        <f t="shared" si="50"/>
        <v>#VALUE!</v>
      </c>
      <c r="N171" s="4">
        <f t="shared" si="51"/>
        <v>0</v>
      </c>
      <c r="O171" s="4" t="str">
        <f t="shared" si="52"/>
        <v/>
      </c>
      <c r="P171" s="5" t="str">
        <f t="shared" si="53"/>
        <v/>
      </c>
      <c r="Q171" s="4" t="e">
        <f t="shared" si="54"/>
        <v>#VALUE!</v>
      </c>
      <c r="R171" s="3"/>
      <c r="S171" t="str">
        <f t="shared" si="58"/>
        <v/>
      </c>
    </row>
    <row r="172" spans="1:19" x14ac:dyDescent="0.4">
      <c r="A172" s="3"/>
      <c r="B172" s="3"/>
      <c r="C172" s="3"/>
      <c r="D172" s="3"/>
      <c r="E172" s="3"/>
      <c r="F172" s="3"/>
      <c r="G172" s="3"/>
      <c r="H172" t="str">
        <f t="shared" si="55"/>
        <v/>
      </c>
      <c r="I172" s="4" t="str">
        <f t="shared" si="56"/>
        <v/>
      </c>
      <c r="J172" s="4" t="str">
        <f t="shared" si="57"/>
        <v/>
      </c>
      <c r="K172" s="5" t="str">
        <f>IF(OR(B172="",C172=""),"",SUMIFS($H$4:H171,$B$4:B171,B172,$C$4:C171,C172))</f>
        <v/>
      </c>
      <c r="L172" s="4" t="str">
        <f>IF(OR(B172="",C172=""),"",IFERROR(LOOKUP(2,1/(($B$4:B171=B172)*($C$4:C171=C172)),$O$4:O171),0))</f>
        <v/>
      </c>
      <c r="M172" s="4" t="e">
        <f t="shared" si="50"/>
        <v>#VALUE!</v>
      </c>
      <c r="N172" s="4">
        <f t="shared" si="51"/>
        <v>0</v>
      </c>
      <c r="O172" s="4" t="str">
        <f t="shared" si="52"/>
        <v/>
      </c>
      <c r="P172" s="5" t="str">
        <f t="shared" si="53"/>
        <v/>
      </c>
      <c r="Q172" s="4" t="e">
        <f t="shared" si="54"/>
        <v>#VALUE!</v>
      </c>
      <c r="R172" s="3"/>
      <c r="S172" t="str">
        <f t="shared" si="58"/>
        <v/>
      </c>
    </row>
    <row r="173" spans="1:19" x14ac:dyDescent="0.4">
      <c r="A173" s="3"/>
      <c r="B173" s="3"/>
      <c r="C173" s="3"/>
      <c r="D173" s="3"/>
      <c r="E173" s="3"/>
      <c r="F173" s="3"/>
      <c r="G173" s="3"/>
      <c r="H173" t="str">
        <f t="shared" si="55"/>
        <v/>
      </c>
      <c r="I173" s="4" t="str">
        <f t="shared" si="56"/>
        <v/>
      </c>
      <c r="J173" s="4" t="str">
        <f t="shared" si="57"/>
        <v/>
      </c>
      <c r="K173" s="5" t="str">
        <f>IF(OR(B173="",C173=""),"",SUMIFS($H$4:H172,$B$4:B172,B173,$C$4:C172,C173))</f>
        <v/>
      </c>
      <c r="L173" s="4" t="str">
        <f>IF(OR(B173="",C173=""),"",IFERROR(LOOKUP(2,1/(($B$4:B172=B173)*($C$4:C172=C173)),$O$4:O172),0))</f>
        <v/>
      </c>
      <c r="M173" s="4" t="e">
        <f t="shared" si="50"/>
        <v>#VALUE!</v>
      </c>
      <c r="N173" s="4">
        <f t="shared" si="51"/>
        <v>0</v>
      </c>
      <c r="O173" s="4" t="str">
        <f t="shared" si="52"/>
        <v/>
      </c>
      <c r="P173" s="5" t="str">
        <f t="shared" si="53"/>
        <v/>
      </c>
      <c r="Q173" s="4" t="e">
        <f t="shared" si="54"/>
        <v>#VALUE!</v>
      </c>
      <c r="R173" s="3"/>
      <c r="S173" t="str">
        <f t="shared" si="58"/>
        <v/>
      </c>
    </row>
    <row r="174" spans="1:19" x14ac:dyDescent="0.4">
      <c r="A174" s="3"/>
      <c r="B174" s="3"/>
      <c r="C174" s="3"/>
      <c r="D174" s="3"/>
      <c r="E174" s="3"/>
      <c r="F174" s="3"/>
      <c r="G174" s="3"/>
      <c r="H174" t="str">
        <f t="shared" si="55"/>
        <v/>
      </c>
      <c r="I174" s="4" t="str">
        <f t="shared" si="56"/>
        <v/>
      </c>
      <c r="J174" s="4" t="str">
        <f t="shared" si="57"/>
        <v/>
      </c>
      <c r="K174" s="5" t="str">
        <f>IF(OR(B174="",C174=""),"",SUMIFS($H$4:H173,$B$4:B173,B174,$C$4:C173,C174))</f>
        <v/>
      </c>
      <c r="L174" s="4" t="str">
        <f>IF(OR(B174="",C174=""),"",IFERROR(LOOKUP(2,1/(($B$4:B173=B174)*($C$4:C173=C174)),$O$4:O173),0))</f>
        <v/>
      </c>
      <c r="M174" s="4" t="e">
        <f t="shared" si="50"/>
        <v>#VALUE!</v>
      </c>
      <c r="N174" s="4">
        <f t="shared" si="51"/>
        <v>0</v>
      </c>
      <c r="O174" s="4" t="str">
        <f t="shared" si="52"/>
        <v/>
      </c>
      <c r="P174" s="5" t="str">
        <f t="shared" si="53"/>
        <v/>
      </c>
      <c r="Q174" s="4" t="e">
        <f t="shared" si="54"/>
        <v>#VALUE!</v>
      </c>
      <c r="R174" s="3"/>
      <c r="S174" t="str">
        <f t="shared" si="58"/>
        <v/>
      </c>
    </row>
    <row r="175" spans="1:19" x14ac:dyDescent="0.4">
      <c r="A175" s="3"/>
      <c r="B175" s="3"/>
      <c r="C175" s="3"/>
      <c r="D175" s="3"/>
      <c r="E175" s="3"/>
      <c r="F175" s="3"/>
      <c r="G175" s="3"/>
      <c r="H175" t="str">
        <f t="shared" si="55"/>
        <v/>
      </c>
      <c r="I175" s="4" t="str">
        <f t="shared" si="56"/>
        <v/>
      </c>
      <c r="J175" s="4" t="str">
        <f t="shared" si="57"/>
        <v/>
      </c>
      <c r="K175" s="5" t="str">
        <f>IF(OR(B175="",C175=""),"",SUMIFS($H$4:H174,$B$4:B174,B175,$C$4:C174,C175))</f>
        <v/>
      </c>
      <c r="L175" s="4" t="str">
        <f>IF(OR(B175="",C175=""),"",IFERROR(LOOKUP(2,1/(($B$4:B174=B175)*($C$4:C174=C175)),$O$4:O174),0))</f>
        <v/>
      </c>
      <c r="M175" s="4" t="e">
        <f t="shared" si="50"/>
        <v>#VALUE!</v>
      </c>
      <c r="N175" s="4">
        <f t="shared" si="51"/>
        <v>0</v>
      </c>
      <c r="O175" s="4" t="str">
        <f t="shared" si="52"/>
        <v/>
      </c>
      <c r="P175" s="5" t="str">
        <f t="shared" si="53"/>
        <v/>
      </c>
      <c r="Q175" s="4" t="e">
        <f t="shared" si="54"/>
        <v>#VALUE!</v>
      </c>
      <c r="R175" s="3"/>
      <c r="S175" t="str">
        <f t="shared" si="58"/>
        <v/>
      </c>
    </row>
    <row r="176" spans="1:19" x14ac:dyDescent="0.4">
      <c r="A176" s="3"/>
      <c r="B176" s="3"/>
      <c r="C176" s="3"/>
      <c r="D176" s="3"/>
      <c r="E176" s="3"/>
      <c r="F176" s="3"/>
      <c r="G176" s="3"/>
      <c r="H176" t="str">
        <f t="shared" si="55"/>
        <v/>
      </c>
      <c r="I176" s="4" t="str">
        <f t="shared" si="56"/>
        <v/>
      </c>
      <c r="J176" s="4" t="str">
        <f t="shared" si="57"/>
        <v/>
      </c>
      <c r="K176" s="5" t="str">
        <f>IF(OR(B176="",C176=""),"",SUMIFS($H$4:H175,$B$4:B175,B176,$C$4:C175,C176))</f>
        <v/>
      </c>
      <c r="L176" s="4" t="str">
        <f>IF(OR(B176="",C176=""),"",IFERROR(LOOKUP(2,1/(($B$4:B175=B176)*($C$4:C175=C176)),$O$4:O175),0))</f>
        <v/>
      </c>
      <c r="M176" s="4" t="e">
        <f t="shared" si="50"/>
        <v>#VALUE!</v>
      </c>
      <c r="N176" s="4">
        <f t="shared" si="51"/>
        <v>0</v>
      </c>
      <c r="O176" s="4" t="str">
        <f t="shared" si="52"/>
        <v/>
      </c>
      <c r="P176" s="5" t="str">
        <f t="shared" si="53"/>
        <v/>
      </c>
      <c r="Q176" s="4" t="e">
        <f t="shared" si="54"/>
        <v>#VALUE!</v>
      </c>
      <c r="R176" s="3"/>
      <c r="S176" t="str">
        <f t="shared" si="58"/>
        <v/>
      </c>
    </row>
    <row r="177" spans="1:19" x14ac:dyDescent="0.4">
      <c r="A177" s="3"/>
      <c r="B177" s="3"/>
      <c r="C177" s="3"/>
      <c r="D177" s="3"/>
      <c r="E177" s="3"/>
      <c r="F177" s="3"/>
      <c r="G177" s="3"/>
      <c r="H177" t="str">
        <f t="shared" si="55"/>
        <v/>
      </c>
      <c r="I177" s="4" t="str">
        <f t="shared" si="56"/>
        <v/>
      </c>
      <c r="J177" s="4" t="str">
        <f t="shared" si="57"/>
        <v/>
      </c>
      <c r="K177" s="5" t="str">
        <f>IF(OR(B177="",C177=""),"",SUMIFS($H$4:H176,$B$4:B176,B177,$C$4:C176,C177))</f>
        <v/>
      </c>
      <c r="L177" s="4" t="str">
        <f>IF(OR(B177="",C177=""),"",IFERROR(LOOKUP(2,1/(($B$4:B176=B177)*($C$4:C176=C177)),$O$4:O176),0))</f>
        <v/>
      </c>
      <c r="M177" s="4" t="e">
        <f t="shared" si="50"/>
        <v>#VALUE!</v>
      </c>
      <c r="N177" s="4">
        <f t="shared" si="51"/>
        <v>0</v>
      </c>
      <c r="O177" s="4" t="str">
        <f t="shared" si="52"/>
        <v/>
      </c>
      <c r="P177" s="5" t="str">
        <f t="shared" si="53"/>
        <v/>
      </c>
      <c r="Q177" s="4" t="e">
        <f t="shared" si="54"/>
        <v>#VALUE!</v>
      </c>
      <c r="R177" s="3"/>
      <c r="S177" t="str">
        <f t="shared" si="58"/>
        <v/>
      </c>
    </row>
    <row r="178" spans="1:19" x14ac:dyDescent="0.4">
      <c r="A178" s="3"/>
      <c r="B178" s="3"/>
      <c r="C178" s="3"/>
      <c r="D178" s="3"/>
      <c r="E178" s="3"/>
      <c r="F178" s="3"/>
      <c r="G178" s="3"/>
      <c r="H178" t="str">
        <f t="shared" si="55"/>
        <v/>
      </c>
      <c r="I178" s="4" t="str">
        <f t="shared" si="56"/>
        <v/>
      </c>
      <c r="J178" s="4" t="str">
        <f t="shared" si="57"/>
        <v/>
      </c>
      <c r="K178" s="5" t="str">
        <f>IF(OR(B178="",C178=""),"",SUMIFS($H$4:H177,$B$4:B177,B178,$C$4:C177,C178))</f>
        <v/>
      </c>
      <c r="L178" s="4" t="str">
        <f>IF(OR(B178="",C178=""),"",IFERROR(LOOKUP(2,1/(($B$4:B177=B178)*($C$4:C177=C178)),$O$4:O177),0))</f>
        <v/>
      </c>
      <c r="M178" s="4" t="e">
        <f t="shared" si="50"/>
        <v>#VALUE!</v>
      </c>
      <c r="N178" s="4">
        <f t="shared" si="51"/>
        <v>0</v>
      </c>
      <c r="O178" s="4" t="str">
        <f t="shared" si="52"/>
        <v/>
      </c>
      <c r="P178" s="5" t="str">
        <f t="shared" si="53"/>
        <v/>
      </c>
      <c r="Q178" s="4" t="e">
        <f t="shared" si="54"/>
        <v>#VALUE!</v>
      </c>
      <c r="R178" s="3"/>
      <c r="S178" t="str">
        <f t="shared" si="58"/>
        <v/>
      </c>
    </row>
    <row r="179" spans="1:19" x14ac:dyDescent="0.4">
      <c r="A179" s="3"/>
      <c r="B179" s="3"/>
      <c r="C179" s="3"/>
      <c r="D179" s="3"/>
      <c r="E179" s="3"/>
      <c r="F179" s="3"/>
      <c r="G179" s="3"/>
      <c r="H179" t="str">
        <f t="shared" si="55"/>
        <v/>
      </c>
      <c r="I179" s="4" t="str">
        <f t="shared" si="56"/>
        <v/>
      </c>
      <c r="J179" s="4" t="str">
        <f t="shared" si="57"/>
        <v/>
      </c>
      <c r="K179" s="5" t="str">
        <f>IF(OR(B179="",C179=""),"",SUMIFS($H$4:H178,$B$4:B178,B179,$C$4:C178,C179))</f>
        <v/>
      </c>
      <c r="L179" s="4" t="str">
        <f>IF(OR(B179="",C179=""),"",IFERROR(LOOKUP(2,1/(($B$4:B178=B179)*($C$4:C178=C179)),$O$4:O178),0))</f>
        <v/>
      </c>
      <c r="M179" s="4" t="e">
        <f t="shared" si="50"/>
        <v>#VALUE!</v>
      </c>
      <c r="N179" s="4">
        <f t="shared" si="51"/>
        <v>0</v>
      </c>
      <c r="O179" s="4" t="str">
        <f t="shared" si="52"/>
        <v/>
      </c>
      <c r="P179" s="5" t="str">
        <f t="shared" si="53"/>
        <v/>
      </c>
      <c r="Q179" s="4" t="e">
        <f t="shared" si="54"/>
        <v>#VALUE!</v>
      </c>
      <c r="R179" s="3"/>
      <c r="S179" t="str">
        <f t="shared" si="58"/>
        <v/>
      </c>
    </row>
    <row r="180" spans="1:19" x14ac:dyDescent="0.4">
      <c r="A180" s="3"/>
      <c r="B180" s="3"/>
      <c r="C180" s="3"/>
      <c r="D180" s="3"/>
      <c r="E180" s="3"/>
      <c r="F180" s="3"/>
      <c r="G180" s="3"/>
      <c r="H180" t="str">
        <f t="shared" si="55"/>
        <v/>
      </c>
      <c r="I180" s="4" t="str">
        <f t="shared" si="56"/>
        <v/>
      </c>
      <c r="J180" s="4" t="str">
        <f t="shared" si="57"/>
        <v/>
      </c>
      <c r="K180" s="5" t="str">
        <f>IF(OR(B180="",C180=""),"",SUMIFS($H$4:H179,$B$4:B179,B180,$C$4:C179,C180))</f>
        <v/>
      </c>
      <c r="L180" s="4" t="str">
        <f>IF(OR(B180="",C180=""),"",IFERROR(LOOKUP(2,1/(($B$4:B179=B180)*($C$4:C179=C180)),$O$4:O179),0))</f>
        <v/>
      </c>
      <c r="M180" s="4" t="e">
        <f t="shared" si="50"/>
        <v>#VALUE!</v>
      </c>
      <c r="N180" s="4">
        <f t="shared" si="51"/>
        <v>0</v>
      </c>
      <c r="O180" s="4" t="str">
        <f t="shared" si="52"/>
        <v/>
      </c>
      <c r="P180" s="5" t="str">
        <f t="shared" si="53"/>
        <v/>
      </c>
      <c r="Q180" s="4" t="e">
        <f t="shared" si="54"/>
        <v>#VALUE!</v>
      </c>
      <c r="R180" s="3"/>
      <c r="S180" t="str">
        <f t="shared" si="58"/>
        <v/>
      </c>
    </row>
    <row r="181" spans="1:19" x14ac:dyDescent="0.4">
      <c r="A181" s="3"/>
      <c r="B181" s="3"/>
      <c r="C181" s="3"/>
      <c r="D181" s="3"/>
      <c r="E181" s="3"/>
      <c r="F181" s="3"/>
      <c r="G181" s="3"/>
      <c r="H181" t="str">
        <f t="shared" si="55"/>
        <v/>
      </c>
      <c r="I181" s="4" t="str">
        <f t="shared" si="56"/>
        <v/>
      </c>
      <c r="J181" s="4" t="str">
        <f t="shared" si="57"/>
        <v/>
      </c>
      <c r="K181" s="5" t="str">
        <f>IF(OR(B181="",C181=""),"",SUMIFS($H$4:H180,$B$4:B180,B181,$C$4:C180,C181))</f>
        <v/>
      </c>
      <c r="L181" s="4" t="str">
        <f>IF(OR(B181="",C181=""),"",IFERROR(LOOKUP(2,1/(($B$4:B180=B181)*($C$4:C180=C181)),$O$4:O180),0))</f>
        <v/>
      </c>
      <c r="M181" s="4" t="e">
        <f t="shared" si="50"/>
        <v>#VALUE!</v>
      </c>
      <c r="N181" s="4">
        <f t="shared" si="51"/>
        <v>0</v>
      </c>
      <c r="O181" s="4" t="str">
        <f t="shared" si="52"/>
        <v/>
      </c>
      <c r="P181" s="5" t="str">
        <f t="shared" si="53"/>
        <v/>
      </c>
      <c r="Q181" s="4" t="e">
        <f t="shared" si="54"/>
        <v>#VALUE!</v>
      </c>
      <c r="R181" s="3"/>
      <c r="S181" t="str">
        <f t="shared" si="58"/>
        <v/>
      </c>
    </row>
    <row r="182" spans="1:19" x14ac:dyDescent="0.4">
      <c r="A182" s="3"/>
      <c r="B182" s="3"/>
      <c r="C182" s="3"/>
      <c r="D182" s="3"/>
      <c r="E182" s="3"/>
      <c r="F182" s="3"/>
      <c r="G182" s="3"/>
      <c r="H182" t="str">
        <f t="shared" si="55"/>
        <v/>
      </c>
      <c r="I182" s="4" t="str">
        <f t="shared" si="56"/>
        <v/>
      </c>
      <c r="J182" s="4" t="str">
        <f t="shared" si="57"/>
        <v/>
      </c>
      <c r="K182" s="5" t="str">
        <f>IF(OR(B182="",C182=""),"",SUMIFS($H$4:H181,$B$4:B181,B182,$C$4:C181,C182))</f>
        <v/>
      </c>
      <c r="L182" s="4" t="str">
        <f>IF(OR(B182="",C182=""),"",IFERROR(LOOKUP(2,1/(($B$4:B181=B182)*($C$4:C181=C182)),$O$4:O181),0))</f>
        <v/>
      </c>
      <c r="M182" s="4" t="e">
        <f t="shared" si="50"/>
        <v>#VALUE!</v>
      </c>
      <c r="N182" s="4">
        <f t="shared" si="51"/>
        <v>0</v>
      </c>
      <c r="O182" s="4" t="str">
        <f t="shared" si="52"/>
        <v/>
      </c>
      <c r="P182" s="5" t="str">
        <f t="shared" si="53"/>
        <v/>
      </c>
      <c r="Q182" s="4" t="e">
        <f t="shared" si="54"/>
        <v>#VALUE!</v>
      </c>
      <c r="R182" s="3"/>
      <c r="S182" t="str">
        <f t="shared" si="58"/>
        <v/>
      </c>
    </row>
    <row r="183" spans="1:19" x14ac:dyDescent="0.4">
      <c r="A183" s="3"/>
      <c r="B183" s="3"/>
      <c r="C183" s="3"/>
      <c r="D183" s="3"/>
      <c r="E183" s="3"/>
      <c r="F183" s="3"/>
      <c r="G183" s="3"/>
      <c r="H183" t="str">
        <f t="shared" si="55"/>
        <v/>
      </c>
      <c r="I183" s="4" t="str">
        <f t="shared" si="56"/>
        <v/>
      </c>
      <c r="J183" s="4" t="str">
        <f t="shared" si="57"/>
        <v/>
      </c>
      <c r="K183" s="5" t="str">
        <f>IF(OR(B183="",C183=""),"",SUMIFS($H$4:H182,$B$4:B182,B183,$C$4:C182,C183))</f>
        <v/>
      </c>
      <c r="L183" s="4" t="str">
        <f>IF(OR(B183="",C183=""),"",IFERROR(LOOKUP(2,1/(($B$4:B182=B183)*($C$4:C182=C183)),$O$4:O182),0))</f>
        <v/>
      </c>
      <c r="M183" s="4" t="e">
        <f t="shared" si="50"/>
        <v>#VALUE!</v>
      </c>
      <c r="N183" s="4">
        <f t="shared" si="51"/>
        <v>0</v>
      </c>
      <c r="O183" s="4" t="str">
        <f t="shared" si="52"/>
        <v/>
      </c>
      <c r="P183" s="5" t="str">
        <f t="shared" si="53"/>
        <v/>
      </c>
      <c r="Q183" s="4" t="e">
        <f t="shared" si="54"/>
        <v>#VALUE!</v>
      </c>
      <c r="R183" s="3"/>
      <c r="S183" t="str">
        <f t="shared" si="58"/>
        <v/>
      </c>
    </row>
    <row r="184" spans="1:19" x14ac:dyDescent="0.4">
      <c r="A184" s="3"/>
      <c r="B184" s="3"/>
      <c r="C184" s="3"/>
      <c r="D184" s="3"/>
      <c r="E184" s="3"/>
      <c r="F184" s="3"/>
      <c r="G184" s="3"/>
      <c r="H184" t="str">
        <f t="shared" si="55"/>
        <v/>
      </c>
      <c r="I184" s="4" t="str">
        <f t="shared" si="56"/>
        <v/>
      </c>
      <c r="J184" s="4" t="str">
        <f t="shared" si="57"/>
        <v/>
      </c>
      <c r="K184" s="5" t="str">
        <f>IF(OR(B184="",C184=""),"",SUMIFS($H$4:H183,$B$4:B183,B184,$C$4:C183,C184))</f>
        <v/>
      </c>
      <c r="L184" s="4" t="str">
        <f>IF(OR(B184="",C184=""),"",IFERROR(LOOKUP(2,1/(($B$4:B183=B184)*($C$4:C183=C184)),$O$4:O183),0))</f>
        <v/>
      </c>
      <c r="M184" s="4" t="e">
        <f t="shared" si="50"/>
        <v>#VALUE!</v>
      </c>
      <c r="N184" s="4">
        <f t="shared" si="51"/>
        <v>0</v>
      </c>
      <c r="O184" s="4" t="str">
        <f t="shared" si="52"/>
        <v/>
      </c>
      <c r="P184" s="5" t="str">
        <f t="shared" si="53"/>
        <v/>
      </c>
      <c r="Q184" s="4" t="e">
        <f t="shared" si="54"/>
        <v>#VALUE!</v>
      </c>
      <c r="R184" s="3"/>
      <c r="S184" t="str">
        <f t="shared" si="58"/>
        <v/>
      </c>
    </row>
    <row r="185" spans="1:19" x14ac:dyDescent="0.4">
      <c r="A185" s="3"/>
      <c r="B185" s="3"/>
      <c r="C185" s="3"/>
      <c r="D185" s="3"/>
      <c r="E185" s="3"/>
      <c r="F185" s="3"/>
      <c r="G185" s="3"/>
      <c r="H185" t="str">
        <f t="shared" si="55"/>
        <v/>
      </c>
      <c r="I185" s="4" t="str">
        <f t="shared" si="56"/>
        <v/>
      </c>
      <c r="J185" s="4" t="str">
        <f t="shared" si="57"/>
        <v/>
      </c>
      <c r="K185" s="5" t="str">
        <f>IF(OR(B185="",C185=""),"",SUMIFS($H$4:H184,$B$4:B184,B185,$C$4:C184,C185))</f>
        <v/>
      </c>
      <c r="L185" s="4" t="str">
        <f>IF(OR(B185="",C185=""),"",IFERROR(LOOKUP(2,1/(($B$4:B184=B185)*($C$4:C184=C185)),$O$4:O184),0))</f>
        <v/>
      </c>
      <c r="M185" s="4" t="e">
        <f t="shared" si="50"/>
        <v>#VALUE!</v>
      </c>
      <c r="N185" s="4">
        <f t="shared" si="51"/>
        <v>0</v>
      </c>
      <c r="O185" s="4" t="str">
        <f t="shared" si="52"/>
        <v/>
      </c>
      <c r="P185" s="5" t="str">
        <f t="shared" si="53"/>
        <v/>
      </c>
      <c r="Q185" s="4" t="e">
        <f t="shared" si="54"/>
        <v>#VALUE!</v>
      </c>
      <c r="R185" s="3"/>
      <c r="S185" t="str">
        <f t="shared" si="58"/>
        <v/>
      </c>
    </row>
    <row r="186" spans="1:19" x14ac:dyDescent="0.4">
      <c r="A186" s="3"/>
      <c r="B186" s="3"/>
      <c r="C186" s="3"/>
      <c r="D186" s="3"/>
      <c r="E186" s="3"/>
      <c r="F186" s="3"/>
      <c r="G186" s="3"/>
      <c r="H186" t="str">
        <f t="shared" si="55"/>
        <v/>
      </c>
      <c r="I186" s="4" t="str">
        <f t="shared" si="56"/>
        <v/>
      </c>
      <c r="J186" s="4" t="str">
        <f t="shared" si="57"/>
        <v/>
      </c>
      <c r="K186" s="5" t="str">
        <f>IF(OR(B186="",C186=""),"",SUMIFS($H$4:H185,$B$4:B185,B186,$C$4:C185,C186))</f>
        <v/>
      </c>
      <c r="L186" s="4" t="str">
        <f>IF(OR(B186="",C186=""),"",IFERROR(LOOKUP(2,1/(($B$4:B185=B186)*($C$4:C185=C186)),$O$4:O185),0))</f>
        <v/>
      </c>
      <c r="M186" s="4" t="e">
        <f t="shared" si="50"/>
        <v>#VALUE!</v>
      </c>
      <c r="N186" s="4">
        <f t="shared" si="51"/>
        <v>0</v>
      </c>
      <c r="O186" s="4" t="str">
        <f t="shared" si="52"/>
        <v/>
      </c>
      <c r="P186" s="5" t="str">
        <f t="shared" si="53"/>
        <v/>
      </c>
      <c r="Q186" s="4" t="e">
        <f t="shared" si="54"/>
        <v>#VALUE!</v>
      </c>
      <c r="R186" s="3"/>
      <c r="S186" t="str">
        <f t="shared" si="58"/>
        <v/>
      </c>
    </row>
    <row r="187" spans="1:19" x14ac:dyDescent="0.4">
      <c r="A187" s="3"/>
      <c r="B187" s="3"/>
      <c r="C187" s="3"/>
      <c r="D187" s="3"/>
      <c r="E187" s="3"/>
      <c r="F187" s="3"/>
      <c r="G187" s="3"/>
      <c r="H187" t="str">
        <f t="shared" si="55"/>
        <v/>
      </c>
      <c r="I187" s="4" t="str">
        <f t="shared" si="56"/>
        <v/>
      </c>
      <c r="J187" s="4" t="str">
        <f t="shared" si="57"/>
        <v/>
      </c>
      <c r="K187" s="5" t="str">
        <f>IF(OR(B187="",C187=""),"",SUMIFS($H$4:H186,$B$4:B186,B187,$C$4:C186,C187))</f>
        <v/>
      </c>
      <c r="L187" s="4" t="str">
        <f>IF(OR(B187="",C187=""),"",IFERROR(LOOKUP(2,1/(($B$4:B186=B187)*($C$4:C186=C187)),$O$4:O186),0))</f>
        <v/>
      </c>
      <c r="M187" s="4" t="e">
        <f t="shared" si="50"/>
        <v>#VALUE!</v>
      </c>
      <c r="N187" s="4">
        <f t="shared" si="51"/>
        <v>0</v>
      </c>
      <c r="O187" s="4" t="str">
        <f t="shared" si="52"/>
        <v/>
      </c>
      <c r="P187" s="5" t="str">
        <f t="shared" si="53"/>
        <v/>
      </c>
      <c r="Q187" s="4" t="e">
        <f t="shared" si="54"/>
        <v>#VALUE!</v>
      </c>
      <c r="R187" s="3"/>
      <c r="S187" t="str">
        <f t="shared" si="58"/>
        <v/>
      </c>
    </row>
    <row r="188" spans="1:19" x14ac:dyDescent="0.4">
      <c r="A188" s="3"/>
      <c r="B188" s="3"/>
      <c r="C188" s="3"/>
      <c r="D188" s="3"/>
      <c r="E188" s="3"/>
      <c r="F188" s="3"/>
      <c r="G188" s="3"/>
      <c r="H188" t="str">
        <f t="shared" si="55"/>
        <v/>
      </c>
      <c r="I188" s="4" t="str">
        <f t="shared" si="56"/>
        <v/>
      </c>
      <c r="J188" s="4" t="str">
        <f t="shared" si="57"/>
        <v/>
      </c>
      <c r="K188" s="5" t="str">
        <f>IF(OR(B188="",C188=""),"",SUMIFS($H$4:H187,$B$4:B187,B188,$C$4:C187,C188))</f>
        <v/>
      </c>
      <c r="L188" s="4" t="str">
        <f>IF(OR(B188="",C188=""),"",IFERROR(LOOKUP(2,1/(($B$4:B187=B188)*($C$4:C187=C188)),$O$4:O187),0))</f>
        <v/>
      </c>
      <c r="M188" s="4" t="e">
        <f t="shared" si="50"/>
        <v>#VALUE!</v>
      </c>
      <c r="N188" s="4">
        <f t="shared" si="51"/>
        <v>0</v>
      </c>
      <c r="O188" s="4" t="str">
        <f t="shared" si="52"/>
        <v/>
      </c>
      <c r="P188" s="5" t="str">
        <f t="shared" si="53"/>
        <v/>
      </c>
      <c r="Q188" s="4" t="e">
        <f t="shared" si="54"/>
        <v>#VALUE!</v>
      </c>
      <c r="R188" s="3"/>
      <c r="S188" t="str">
        <f t="shared" si="58"/>
        <v/>
      </c>
    </row>
    <row r="189" spans="1:19" x14ac:dyDescent="0.4">
      <c r="A189" s="3"/>
      <c r="B189" s="3"/>
      <c r="C189" s="3"/>
      <c r="D189" s="3"/>
      <c r="E189" s="3"/>
      <c r="F189" s="3"/>
      <c r="G189" s="3"/>
      <c r="H189" t="str">
        <f t="shared" si="55"/>
        <v/>
      </c>
      <c r="I189" s="4" t="str">
        <f t="shared" si="56"/>
        <v/>
      </c>
      <c r="J189" s="4" t="str">
        <f t="shared" si="57"/>
        <v/>
      </c>
      <c r="K189" s="5" t="str">
        <f>IF(OR(B189="",C189=""),"",SUMIFS($H$4:H188,$B$4:B188,B189,$C$4:C188,C189))</f>
        <v/>
      </c>
      <c r="L189" s="4" t="str">
        <f>IF(OR(B189="",C189=""),"",IFERROR(LOOKUP(2,1/(($B$4:B188=B189)*($C$4:C188=C189)),$O$4:O188),0))</f>
        <v/>
      </c>
      <c r="M189" s="4" t="e">
        <f t="shared" si="50"/>
        <v>#VALUE!</v>
      </c>
      <c r="N189" s="4">
        <f t="shared" si="51"/>
        <v>0</v>
      </c>
      <c r="O189" s="4" t="str">
        <f t="shared" si="52"/>
        <v/>
      </c>
      <c r="P189" s="5" t="str">
        <f t="shared" si="53"/>
        <v/>
      </c>
      <c r="Q189" s="4" t="e">
        <f t="shared" si="54"/>
        <v>#VALUE!</v>
      </c>
      <c r="R189" s="3"/>
      <c r="S189" t="str">
        <f t="shared" si="58"/>
        <v/>
      </c>
    </row>
    <row r="190" spans="1:19" x14ac:dyDescent="0.4">
      <c r="A190" s="3"/>
      <c r="B190" s="3"/>
      <c r="C190" s="3"/>
      <c r="D190" s="3"/>
      <c r="E190" s="3"/>
      <c r="F190" s="3"/>
      <c r="G190" s="3"/>
      <c r="H190" t="str">
        <f t="shared" si="55"/>
        <v/>
      </c>
      <c r="I190" s="4" t="str">
        <f t="shared" si="56"/>
        <v/>
      </c>
      <c r="J190" s="4" t="str">
        <f t="shared" si="57"/>
        <v/>
      </c>
      <c r="K190" s="5" t="str">
        <f>IF(OR(B190="",C190=""),"",SUMIFS($H$4:H189,$B$4:B189,B190,$C$4:C189,C190))</f>
        <v/>
      </c>
      <c r="L190" s="4" t="str">
        <f>IF(OR(B190="",C190=""),"",IFERROR(LOOKUP(2,1/(($B$4:B189=B190)*($C$4:C189=C190)),$O$4:O189),0))</f>
        <v/>
      </c>
      <c r="M190" s="4" t="e">
        <f t="shared" si="50"/>
        <v>#VALUE!</v>
      </c>
      <c r="N190" s="4">
        <f t="shared" si="51"/>
        <v>0</v>
      </c>
      <c r="O190" s="4" t="str">
        <f t="shared" si="52"/>
        <v/>
      </c>
      <c r="P190" s="5" t="str">
        <f t="shared" si="53"/>
        <v/>
      </c>
      <c r="Q190" s="4" t="e">
        <f t="shared" si="54"/>
        <v>#VALUE!</v>
      </c>
      <c r="R190" s="3"/>
      <c r="S190" t="str">
        <f t="shared" si="58"/>
        <v/>
      </c>
    </row>
    <row r="191" spans="1:19" x14ac:dyDescent="0.4">
      <c r="A191" s="3"/>
      <c r="B191" s="3"/>
      <c r="C191" s="3"/>
      <c r="D191" s="3"/>
      <c r="E191" s="3"/>
      <c r="F191" s="3"/>
      <c r="G191" s="3"/>
      <c r="H191" t="str">
        <f t="shared" si="55"/>
        <v/>
      </c>
      <c r="I191" s="4" t="str">
        <f t="shared" si="56"/>
        <v/>
      </c>
      <c r="J191" s="4" t="str">
        <f t="shared" si="57"/>
        <v/>
      </c>
      <c r="K191" s="5" t="str">
        <f>IF(OR(B191="",C191=""),"",SUMIFS($H$4:H190,$B$4:B190,B191,$C$4:C190,C191))</f>
        <v/>
      </c>
      <c r="L191" s="4" t="str">
        <f>IF(OR(B191="",C191=""),"",IFERROR(LOOKUP(2,1/(($B$4:B190=B191)*($C$4:C190=C191)),$O$4:O190),0))</f>
        <v/>
      </c>
      <c r="M191" s="4" t="e">
        <f t="shared" si="50"/>
        <v>#VALUE!</v>
      </c>
      <c r="N191" s="4">
        <f t="shared" si="51"/>
        <v>0</v>
      </c>
      <c r="O191" s="4" t="str">
        <f t="shared" si="52"/>
        <v/>
      </c>
      <c r="P191" s="5" t="str">
        <f t="shared" si="53"/>
        <v/>
      </c>
      <c r="Q191" s="4" t="e">
        <f t="shared" si="54"/>
        <v>#VALUE!</v>
      </c>
      <c r="R191" s="3"/>
      <c r="S191" t="str">
        <f t="shared" si="58"/>
        <v/>
      </c>
    </row>
    <row r="192" spans="1:19" x14ac:dyDescent="0.4">
      <c r="A192" s="3"/>
      <c r="B192" s="3"/>
      <c r="C192" s="3"/>
      <c r="D192" s="3"/>
      <c r="E192" s="3"/>
      <c r="F192" s="3"/>
      <c r="G192" s="3"/>
      <c r="H192" t="str">
        <f t="shared" si="55"/>
        <v/>
      </c>
      <c r="I192" s="4" t="str">
        <f t="shared" si="56"/>
        <v/>
      </c>
      <c r="J192" s="4" t="str">
        <f t="shared" si="57"/>
        <v/>
      </c>
      <c r="K192" s="5" t="str">
        <f>IF(OR(B192="",C192=""),"",SUMIFS($H$4:H191,$B$4:B191,B192,$C$4:C191,C192))</f>
        <v/>
      </c>
      <c r="L192" s="4" t="str">
        <f>IF(OR(B192="",C192=""),"",IFERROR(LOOKUP(2,1/(($B$4:B191=B192)*($C$4:C191=C192)),$O$4:O191),0))</f>
        <v/>
      </c>
      <c r="M192" s="4" t="e">
        <f t="shared" si="50"/>
        <v>#VALUE!</v>
      </c>
      <c r="N192" s="4">
        <f t="shared" si="51"/>
        <v>0</v>
      </c>
      <c r="O192" s="4" t="str">
        <f t="shared" si="52"/>
        <v/>
      </c>
      <c r="P192" s="5" t="str">
        <f t="shared" si="53"/>
        <v/>
      </c>
      <c r="Q192" s="4" t="e">
        <f t="shared" si="54"/>
        <v>#VALUE!</v>
      </c>
      <c r="R192" s="3"/>
      <c r="S192" t="str">
        <f t="shared" si="58"/>
        <v/>
      </c>
    </row>
    <row r="193" spans="1:19" x14ac:dyDescent="0.4">
      <c r="A193" s="3"/>
      <c r="B193" s="3"/>
      <c r="C193" s="3"/>
      <c r="D193" s="3"/>
      <c r="E193" s="3"/>
      <c r="F193" s="3"/>
      <c r="G193" s="3"/>
      <c r="H193" t="str">
        <f t="shared" si="55"/>
        <v/>
      </c>
      <c r="I193" s="4" t="str">
        <f t="shared" si="56"/>
        <v/>
      </c>
      <c r="J193" s="4" t="str">
        <f t="shared" si="57"/>
        <v/>
      </c>
      <c r="K193" s="5" t="str">
        <f>IF(OR(B193="",C193=""),"",SUMIFS($H$4:H192,$B$4:B192,B193,$C$4:C192,C193))</f>
        <v/>
      </c>
      <c r="L193" s="4" t="str">
        <f>IF(OR(B193="",C193=""),"",IFERROR(LOOKUP(2,1/(($B$4:B192=B193)*($C$4:C192=C193)),$O$4:O192),0))</f>
        <v/>
      </c>
      <c r="M193" s="4" t="e">
        <f t="shared" si="50"/>
        <v>#VALUE!</v>
      </c>
      <c r="N193" s="4">
        <f t="shared" si="51"/>
        <v>0</v>
      </c>
      <c r="O193" s="4" t="str">
        <f t="shared" si="52"/>
        <v/>
      </c>
      <c r="P193" s="5" t="str">
        <f t="shared" si="53"/>
        <v/>
      </c>
      <c r="Q193" s="4" t="e">
        <f t="shared" si="54"/>
        <v>#VALUE!</v>
      </c>
      <c r="R193" s="3"/>
      <c r="S193" t="str">
        <f t="shared" si="58"/>
        <v/>
      </c>
    </row>
    <row r="194" spans="1:19" x14ac:dyDescent="0.4">
      <c r="A194" s="3"/>
      <c r="B194" s="3"/>
      <c r="C194" s="3"/>
      <c r="D194" s="3"/>
      <c r="E194" s="3"/>
      <c r="F194" s="3"/>
      <c r="G194" s="3"/>
      <c r="H194" t="str">
        <f t="shared" si="55"/>
        <v/>
      </c>
      <c r="I194" s="4" t="str">
        <f t="shared" si="56"/>
        <v/>
      </c>
      <c r="J194" s="4" t="str">
        <f t="shared" si="57"/>
        <v/>
      </c>
      <c r="K194" s="5" t="str">
        <f>IF(OR(B194="",C194=""),"",SUMIFS($H$4:H193,$B$4:B193,B194,$C$4:C193,C194))</f>
        <v/>
      </c>
      <c r="L194" s="4" t="str">
        <f>IF(OR(B194="",C194=""),"",IFERROR(LOOKUP(2,1/(($B$4:B193=B194)*($C$4:C193=C194)),$O$4:O193),0))</f>
        <v/>
      </c>
      <c r="M194" s="4" t="e">
        <f t="shared" si="50"/>
        <v>#VALUE!</v>
      </c>
      <c r="N194" s="4">
        <f t="shared" si="51"/>
        <v>0</v>
      </c>
      <c r="O194" s="4" t="str">
        <f t="shared" si="52"/>
        <v/>
      </c>
      <c r="P194" s="5" t="str">
        <f t="shared" si="53"/>
        <v/>
      </c>
      <c r="Q194" s="4" t="e">
        <f t="shared" si="54"/>
        <v>#VALUE!</v>
      </c>
      <c r="R194" s="3"/>
      <c r="S194" t="str">
        <f t="shared" si="58"/>
        <v/>
      </c>
    </row>
    <row r="195" spans="1:19" x14ac:dyDescent="0.4">
      <c r="A195" s="3"/>
      <c r="B195" s="3"/>
      <c r="C195" s="3"/>
      <c r="D195" s="3"/>
      <c r="E195" s="3"/>
      <c r="F195" s="3"/>
      <c r="G195" s="3"/>
      <c r="H195" t="str">
        <f t="shared" si="55"/>
        <v/>
      </c>
      <c r="I195" s="4" t="str">
        <f t="shared" si="56"/>
        <v/>
      </c>
      <c r="J195" s="4" t="str">
        <f t="shared" si="57"/>
        <v/>
      </c>
      <c r="K195" s="5" t="str">
        <f>IF(OR(B195="",C195=""),"",SUMIFS($H$4:H194,$B$4:B194,B195,$C$4:C194,C195))</f>
        <v/>
      </c>
      <c r="L195" s="4" t="str">
        <f>IF(OR(B195="",C195=""),"",IFERROR(LOOKUP(2,1/(($B$4:B194=B195)*($C$4:C194=C195)),$O$4:O194),0))</f>
        <v/>
      </c>
      <c r="M195" s="4" t="e">
        <f t="shared" si="50"/>
        <v>#VALUE!</v>
      </c>
      <c r="N195" s="4">
        <f t="shared" si="51"/>
        <v>0</v>
      </c>
      <c r="O195" s="4" t="str">
        <f t="shared" si="52"/>
        <v/>
      </c>
      <c r="P195" s="5" t="str">
        <f t="shared" si="53"/>
        <v/>
      </c>
      <c r="Q195" s="4" t="e">
        <f t="shared" si="54"/>
        <v>#VALUE!</v>
      </c>
      <c r="R195" s="3"/>
      <c r="S195" t="str">
        <f t="shared" si="58"/>
        <v/>
      </c>
    </row>
    <row r="196" spans="1:19" x14ac:dyDescent="0.4">
      <c r="A196" s="3"/>
      <c r="B196" s="3"/>
      <c r="C196" s="3"/>
      <c r="D196" s="3"/>
      <c r="E196" s="3"/>
      <c r="F196" s="3"/>
      <c r="G196" s="3"/>
      <c r="H196" t="str">
        <f t="shared" si="55"/>
        <v/>
      </c>
      <c r="I196" s="4" t="str">
        <f t="shared" si="56"/>
        <v/>
      </c>
      <c r="J196" s="4" t="str">
        <f t="shared" si="57"/>
        <v/>
      </c>
      <c r="K196" s="5" t="str">
        <f>IF(OR(B196="",C196=""),"",SUMIFS($H$4:H195,$B$4:B195,B196,$C$4:C195,C196))</f>
        <v/>
      </c>
      <c r="L196" s="4" t="str">
        <f>IF(OR(B196="",C196=""),"",IFERROR(LOOKUP(2,1/(($B$4:B195=B196)*($C$4:C195=C196)),$O$4:O195),0))</f>
        <v/>
      </c>
      <c r="M196" s="4" t="e">
        <f t="shared" si="50"/>
        <v>#VALUE!</v>
      </c>
      <c r="N196" s="4">
        <f t="shared" si="51"/>
        <v>0</v>
      </c>
      <c r="O196" s="4" t="str">
        <f t="shared" si="52"/>
        <v/>
      </c>
      <c r="P196" s="5" t="str">
        <f t="shared" si="53"/>
        <v/>
      </c>
      <c r="Q196" s="4" t="e">
        <f t="shared" si="54"/>
        <v>#VALUE!</v>
      </c>
      <c r="R196" s="3"/>
      <c r="S196" t="str">
        <f t="shared" si="58"/>
        <v/>
      </c>
    </row>
    <row r="197" spans="1:19" x14ac:dyDescent="0.4">
      <c r="A197" s="3"/>
      <c r="B197" s="3"/>
      <c r="C197" s="3"/>
      <c r="D197" s="3"/>
      <c r="E197" s="3"/>
      <c r="F197" s="3"/>
      <c r="G197" s="3"/>
      <c r="H197" t="str">
        <f t="shared" si="55"/>
        <v/>
      </c>
      <c r="I197" s="4" t="str">
        <f t="shared" si="56"/>
        <v/>
      </c>
      <c r="J197" s="4" t="str">
        <f t="shared" si="57"/>
        <v/>
      </c>
      <c r="K197" s="5" t="str">
        <f>IF(OR(B197="",C197=""),"",SUMIFS($H$4:H196,$B$4:B196,B197,$C$4:C196,C197))</f>
        <v/>
      </c>
      <c r="L197" s="4" t="str">
        <f>IF(OR(B197="",C197=""),"",IFERROR(LOOKUP(2,1/(($B$4:B196=B197)*($C$4:C196=C197)),$O$4:O196),0))</f>
        <v/>
      </c>
      <c r="M197" s="4" t="e">
        <f t="shared" si="50"/>
        <v>#VALUE!</v>
      </c>
      <c r="N197" s="4">
        <f t="shared" si="51"/>
        <v>0</v>
      </c>
      <c r="O197" s="4" t="str">
        <f t="shared" si="52"/>
        <v/>
      </c>
      <c r="P197" s="5" t="str">
        <f t="shared" si="53"/>
        <v/>
      </c>
      <c r="Q197" s="4" t="e">
        <f t="shared" si="54"/>
        <v>#VALUE!</v>
      </c>
      <c r="R197" s="3"/>
      <c r="S197" t="str">
        <f t="shared" si="58"/>
        <v/>
      </c>
    </row>
    <row r="198" spans="1:19" x14ac:dyDescent="0.4">
      <c r="A198" s="3"/>
      <c r="B198" s="3"/>
      <c r="C198" s="3"/>
      <c r="D198" s="3"/>
      <c r="E198" s="3"/>
      <c r="F198" s="3"/>
      <c r="G198" s="3"/>
      <c r="H198" t="str">
        <f t="shared" si="55"/>
        <v/>
      </c>
      <c r="I198" s="4" t="str">
        <f t="shared" si="56"/>
        <v/>
      </c>
      <c r="J198" s="4" t="str">
        <f t="shared" si="57"/>
        <v/>
      </c>
      <c r="K198" s="5" t="str">
        <f>IF(OR(B198="",C198=""),"",SUMIFS($H$4:H197,$B$4:B197,B198,$C$4:C197,C198))</f>
        <v/>
      </c>
      <c r="L198" s="4" t="str">
        <f>IF(OR(B198="",C198=""),"",IFERROR(LOOKUP(2,1/(($B$4:B197=B198)*($C$4:C197=C198)),$O$4:O197),0))</f>
        <v/>
      </c>
      <c r="M198" s="4" t="e">
        <f t="shared" si="50"/>
        <v>#VALUE!</v>
      </c>
      <c r="N198" s="4">
        <f t="shared" si="51"/>
        <v>0</v>
      </c>
      <c r="O198" s="4" t="str">
        <f t="shared" si="52"/>
        <v/>
      </c>
      <c r="P198" s="5" t="str">
        <f t="shared" si="53"/>
        <v/>
      </c>
      <c r="Q198" s="4" t="e">
        <f t="shared" si="54"/>
        <v>#VALUE!</v>
      </c>
      <c r="R198" s="3"/>
      <c r="S198" t="str">
        <f t="shared" si="58"/>
        <v/>
      </c>
    </row>
    <row r="199" spans="1:19" x14ac:dyDescent="0.4">
      <c r="A199" s="3"/>
      <c r="B199" s="3"/>
      <c r="C199" s="3"/>
      <c r="D199" s="3"/>
      <c r="E199" s="3"/>
      <c r="F199" s="3"/>
      <c r="G199" s="3"/>
      <c r="H199" t="str">
        <f t="shared" ref="H199:H206" si="59">IF(OR(D199="",E199=""),"",IF(D199="BUY",E199,-E199))</f>
        <v/>
      </c>
      <c r="I199" s="4" t="str">
        <f t="shared" ref="I199:I206" si="60">IF(H199="","",ABS(H199)*F199)</f>
        <v/>
      </c>
      <c r="J199" s="4" t="str">
        <f t="shared" ref="J199:J206" si="61">IF(H199="","",-H199*F199-G199)</f>
        <v/>
      </c>
      <c r="K199" s="5" t="str">
        <f>IF(OR(B199="",C199=""),"",SUMIFS($H$4:H198,$B$4:B198,B199,$C$4:C198,C199))</f>
        <v/>
      </c>
      <c r="L199" s="4" t="str">
        <f>IF(OR(B199="",C199=""),"",IFERROR(LOOKUP(2,1/(($B$4:B198=B199)*($C$4:C198=C199)),$O$4:O198),0))</f>
        <v/>
      </c>
      <c r="M199" s="4" t="e">
        <f t="shared" si="50"/>
        <v>#VALUE!</v>
      </c>
      <c r="N199" s="4">
        <f t="shared" si="51"/>
        <v>0</v>
      </c>
      <c r="O199" s="4" t="str">
        <f t="shared" si="52"/>
        <v/>
      </c>
      <c r="P199" s="5" t="str">
        <f t="shared" si="53"/>
        <v/>
      </c>
      <c r="Q199" s="4" t="e">
        <f t="shared" si="54"/>
        <v>#VALUE!</v>
      </c>
      <c r="R199" s="3"/>
      <c r="S199" t="str">
        <f t="shared" ref="S199:S206" si="62">IF(H199="","",IF(P199&lt;0,"ERROR: Over-sold",IF(AND(H199&lt;0,K199=0),"ERROR: Sell w/o position","")))</f>
        <v/>
      </c>
    </row>
    <row r="200" spans="1:19" x14ac:dyDescent="0.4">
      <c r="A200" s="3"/>
      <c r="B200" s="3"/>
      <c r="C200" s="3"/>
      <c r="D200" s="3"/>
      <c r="E200" s="3"/>
      <c r="F200" s="3"/>
      <c r="G200" s="3"/>
      <c r="H200" t="str">
        <f t="shared" si="59"/>
        <v/>
      </c>
      <c r="I200" s="4" t="str">
        <f t="shared" si="60"/>
        <v/>
      </c>
      <c r="J200" s="4" t="str">
        <f t="shared" si="61"/>
        <v/>
      </c>
      <c r="K200" s="5" t="str">
        <f>IF(OR(B200="",C200=""),"",SUMIFS($H$4:H199,$B$4:B199,B200,$C$4:C199,C200))</f>
        <v/>
      </c>
      <c r="L200" s="4" t="str">
        <f>IF(OR(B200="",C200=""),"",IFERROR(LOOKUP(2,1/(($B$4:B199=B200)*($C$4:C199=C200)),$O$4:O199),0))</f>
        <v/>
      </c>
      <c r="M200" s="4" t="e">
        <f t="shared" si="50"/>
        <v>#VALUE!</v>
      </c>
      <c r="N200" s="4">
        <f t="shared" si="51"/>
        <v>0</v>
      </c>
      <c r="O200" s="4" t="str">
        <f t="shared" si="52"/>
        <v/>
      </c>
      <c r="P200" s="5" t="str">
        <f t="shared" si="53"/>
        <v/>
      </c>
      <c r="Q200" s="4" t="e">
        <f t="shared" si="54"/>
        <v>#VALUE!</v>
      </c>
      <c r="R200" s="3"/>
      <c r="S200" t="str">
        <f t="shared" si="62"/>
        <v/>
      </c>
    </row>
    <row r="201" spans="1:19" x14ac:dyDescent="0.4">
      <c r="A201" s="3"/>
      <c r="B201" s="3"/>
      <c r="C201" s="3"/>
      <c r="D201" s="3"/>
      <c r="E201" s="3"/>
      <c r="F201" s="3"/>
      <c r="G201" s="3"/>
      <c r="H201" t="str">
        <f t="shared" si="59"/>
        <v/>
      </c>
      <c r="I201" s="4" t="str">
        <f t="shared" si="60"/>
        <v/>
      </c>
      <c r="J201" s="4" t="str">
        <f t="shared" si="61"/>
        <v/>
      </c>
      <c r="K201" s="5" t="str">
        <f>IF(OR(B201="",C201=""),"",SUMIFS($H$4:H200,$B$4:B200,B201,$C$4:C200,C201))</f>
        <v/>
      </c>
      <c r="L201" s="4" t="str">
        <f>IF(OR(B201="",C201=""),"",IFERROR(LOOKUP(2,1/(($B$4:B200=B201)*($C$4:C200=C201)),$O$4:O200),0))</f>
        <v/>
      </c>
      <c r="M201" s="4" t="e">
        <f t="shared" si="50"/>
        <v>#VALUE!</v>
      </c>
      <c r="N201" s="4">
        <f t="shared" si="51"/>
        <v>0</v>
      </c>
      <c r="O201" s="4" t="str">
        <f t="shared" si="52"/>
        <v/>
      </c>
      <c r="P201" s="5" t="str">
        <f t="shared" si="53"/>
        <v/>
      </c>
      <c r="Q201" s="4" t="e">
        <f t="shared" si="54"/>
        <v>#VALUE!</v>
      </c>
      <c r="R201" s="3"/>
      <c r="S201" t="str">
        <f t="shared" si="62"/>
        <v/>
      </c>
    </row>
    <row r="202" spans="1:19" x14ac:dyDescent="0.4">
      <c r="A202" s="3"/>
      <c r="B202" s="3"/>
      <c r="C202" s="3"/>
      <c r="D202" s="3"/>
      <c r="E202" s="3"/>
      <c r="F202" s="3"/>
      <c r="G202" s="3"/>
      <c r="H202" t="str">
        <f t="shared" si="59"/>
        <v/>
      </c>
      <c r="I202" s="4" t="str">
        <f t="shared" si="60"/>
        <v/>
      </c>
      <c r="J202" s="4" t="str">
        <f t="shared" si="61"/>
        <v/>
      </c>
      <c r="K202" s="5" t="str">
        <f>IF(OR(B202="",C202=""),"",SUMIFS($H$4:H201,$B$4:B201,B202,$C$4:C201,C202))</f>
        <v/>
      </c>
      <c r="L202" s="4" t="str">
        <f>IF(OR(B202="",C202=""),"",IFERROR(LOOKUP(2,1/(($B$4:B201=B202)*($C$4:C201=C202)),$O$4:O201),0))</f>
        <v/>
      </c>
      <c r="M202" s="4" t="e">
        <f t="shared" si="50"/>
        <v>#VALUE!</v>
      </c>
      <c r="N202" s="4">
        <f t="shared" si="51"/>
        <v>0</v>
      </c>
      <c r="O202" s="4" t="str">
        <f t="shared" si="52"/>
        <v/>
      </c>
      <c r="P202" s="5" t="str">
        <f t="shared" si="53"/>
        <v/>
      </c>
      <c r="Q202" s="4" t="e">
        <f t="shared" si="54"/>
        <v>#VALUE!</v>
      </c>
      <c r="R202" s="3"/>
      <c r="S202" t="str">
        <f t="shared" si="62"/>
        <v/>
      </c>
    </row>
    <row r="203" spans="1:19" x14ac:dyDescent="0.4">
      <c r="A203" s="3"/>
      <c r="B203" s="3"/>
      <c r="C203" s="3"/>
      <c r="D203" s="3"/>
      <c r="E203" s="3"/>
      <c r="F203" s="3"/>
      <c r="G203" s="3"/>
      <c r="H203" t="str">
        <f t="shared" si="59"/>
        <v/>
      </c>
      <c r="I203" s="4" t="str">
        <f t="shared" si="60"/>
        <v/>
      </c>
      <c r="J203" s="4" t="str">
        <f t="shared" si="61"/>
        <v/>
      </c>
      <c r="K203" s="5" t="str">
        <f>IF(OR(B203="",C203=""),"",SUMIFS($H$4:H202,$B$4:B202,B203,$C$4:C202,C203))</f>
        <v/>
      </c>
      <c r="L203" s="4" t="str">
        <f>IF(OR(B203="",C203=""),"",IFERROR(LOOKUP(2,1/(($B$4:B202=B203)*($C$4:C202=C203)),$O$4:O202),0))</f>
        <v/>
      </c>
      <c r="M203" s="4" t="e">
        <f t="shared" si="50"/>
        <v>#VALUE!</v>
      </c>
      <c r="N203" s="4">
        <f t="shared" si="51"/>
        <v>0</v>
      </c>
      <c r="O203" s="4" t="str">
        <f t="shared" si="52"/>
        <v/>
      </c>
      <c r="P203" s="5" t="str">
        <f t="shared" si="53"/>
        <v/>
      </c>
      <c r="Q203" s="4" t="e">
        <f t="shared" si="54"/>
        <v>#VALUE!</v>
      </c>
      <c r="R203" s="3"/>
      <c r="S203" t="str">
        <f t="shared" si="62"/>
        <v/>
      </c>
    </row>
    <row r="204" spans="1:19" x14ac:dyDescent="0.4">
      <c r="A204" s="3"/>
      <c r="B204" s="3"/>
      <c r="C204" s="3"/>
      <c r="D204" s="3"/>
      <c r="E204" s="3"/>
      <c r="F204" s="3"/>
      <c r="G204" s="3"/>
      <c r="H204" t="str">
        <f t="shared" si="59"/>
        <v/>
      </c>
      <c r="I204" s="4" t="str">
        <f t="shared" si="60"/>
        <v/>
      </c>
      <c r="J204" s="4" t="str">
        <f t="shared" si="61"/>
        <v/>
      </c>
      <c r="K204" s="5" t="str">
        <f>IF(OR(B204="",C204=""),"",SUMIFS($H$4:H203,$B$4:B203,B204,$C$4:C203,C204))</f>
        <v/>
      </c>
      <c r="L204" s="4" t="str">
        <f>IF(OR(B204="",C204=""),"",IFERROR(LOOKUP(2,1/(($B$4:B203=B204)*($C$4:C203=C204)),$O$4:O203),0))</f>
        <v/>
      </c>
      <c r="M204" s="4" t="e">
        <f t="shared" si="50"/>
        <v>#VALUE!</v>
      </c>
      <c r="N204" s="4">
        <f t="shared" si="51"/>
        <v>0</v>
      </c>
      <c r="O204" s="4" t="str">
        <f t="shared" si="52"/>
        <v/>
      </c>
      <c r="P204" s="5" t="str">
        <f t="shared" si="53"/>
        <v/>
      </c>
      <c r="Q204" s="4" t="e">
        <f t="shared" si="54"/>
        <v>#VALUE!</v>
      </c>
      <c r="R204" s="3"/>
      <c r="S204" t="str">
        <f t="shared" si="62"/>
        <v/>
      </c>
    </row>
    <row r="205" spans="1:19" x14ac:dyDescent="0.4">
      <c r="A205" s="3"/>
      <c r="B205" s="3"/>
      <c r="C205" s="3"/>
      <c r="D205" s="3"/>
      <c r="E205" s="3"/>
      <c r="F205" s="3"/>
      <c r="G205" s="3"/>
      <c r="H205" t="str">
        <f t="shared" si="59"/>
        <v/>
      </c>
      <c r="I205" s="4" t="str">
        <f t="shared" si="60"/>
        <v/>
      </c>
      <c r="J205" s="4" t="str">
        <f t="shared" si="61"/>
        <v/>
      </c>
      <c r="K205" s="5" t="str">
        <f>IF(OR(B205="",C205=""),"",SUMIFS($H$4:H204,$B$4:B204,B205,$C$4:C204,C205))</f>
        <v/>
      </c>
      <c r="L205" s="4" t="str">
        <f>IF(OR(B205="",C205=""),"",IFERROR(LOOKUP(2,1/(($B$4:B204=B205)*($C$4:C204=C205)),$O$4:O204),0))</f>
        <v/>
      </c>
      <c r="M205" s="4" t="e">
        <f t="shared" si="50"/>
        <v>#VALUE!</v>
      </c>
      <c r="N205" s="4">
        <f t="shared" si="51"/>
        <v>0</v>
      </c>
      <c r="O205" s="4" t="str">
        <f t="shared" si="52"/>
        <v/>
      </c>
      <c r="P205" s="5" t="str">
        <f t="shared" si="53"/>
        <v/>
      </c>
      <c r="Q205" s="4" t="e">
        <f t="shared" si="54"/>
        <v>#VALUE!</v>
      </c>
      <c r="R205" s="3"/>
      <c r="S205" t="str">
        <f t="shared" si="62"/>
        <v/>
      </c>
    </row>
    <row r="206" spans="1:19" x14ac:dyDescent="0.4">
      <c r="A206" s="3"/>
      <c r="B206" s="3"/>
      <c r="C206" s="3"/>
      <c r="D206" s="3"/>
      <c r="E206" s="3"/>
      <c r="F206" s="3"/>
      <c r="G206" s="3"/>
      <c r="H206" t="str">
        <f t="shared" si="59"/>
        <v/>
      </c>
      <c r="I206" s="4" t="str">
        <f t="shared" si="60"/>
        <v/>
      </c>
      <c r="J206" s="4" t="str">
        <f t="shared" si="61"/>
        <v/>
      </c>
      <c r="K206" s="5" t="str">
        <f>IF(OR(B206="",C206=""),"",SUMIFS($H$4:H205,$B$4:B205,B206,$C$4:C205,C206))</f>
        <v/>
      </c>
      <c r="L206" s="4" t="str">
        <f>IF(OR(B206="",C206=""),"",IFERROR(LOOKUP(2,1/(($B$4:B205=B206)*($C$4:C205=C206)),$O$4:O205),0))</f>
        <v/>
      </c>
      <c r="M206" s="4" t="e">
        <f t="shared" si="50"/>
        <v>#VALUE!</v>
      </c>
      <c r="N206" s="4">
        <f t="shared" si="51"/>
        <v>0</v>
      </c>
      <c r="O206" s="4" t="str">
        <f t="shared" si="52"/>
        <v/>
      </c>
      <c r="P206" s="5" t="str">
        <f t="shared" si="53"/>
        <v/>
      </c>
      <c r="Q206" s="4" t="e">
        <f t="shared" si="54"/>
        <v>#VALUE!</v>
      </c>
      <c r="R206" s="3"/>
      <c r="S206" t="str">
        <f t="shared" si="62"/>
        <v/>
      </c>
    </row>
  </sheetData>
  <mergeCells count="1">
    <mergeCell ref="A1:G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Config!$D$2:$D$7</xm:f>
          </x14:formula1>
          <xm:sqref>B4:B206</xm:sqref>
        </x14:dataValidation>
        <x14:dataValidation type="list" allowBlank="1" showInputMessage="1" showErrorMessage="1" xr:uid="{00000000-0002-0000-0300-000001000000}">
          <x14:formula1>
            <xm:f>Config!$F$2:$F$4</xm:f>
          </x14:formula1>
          <xm:sqref>C4:C206</xm:sqref>
        </x14:dataValidation>
        <x14:dataValidation type="list" allowBlank="1" showInputMessage="1" showErrorMessage="1" xr:uid="{00000000-0002-0000-0300-000002000000}">
          <x14:formula1>
            <xm:f>Config!$H$2:$H$3</xm:f>
          </x14:formula1>
          <xm:sqref>D4:D206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3"/>
  <sheetViews>
    <sheetView workbookViewId="0">
      <selection activeCell="B9" sqref="B9"/>
    </sheetView>
  </sheetViews>
  <sheetFormatPr defaultRowHeight="14.6" x14ac:dyDescent="0.4"/>
  <cols>
    <col min="1" max="4" width="18.69140625" customWidth="1"/>
  </cols>
  <sheetData>
    <row r="1" spans="1:4" ht="18.45" x14ac:dyDescent="0.5">
      <c r="A1" s="10" t="s">
        <v>50</v>
      </c>
      <c r="B1" s="10"/>
      <c r="C1" s="10"/>
      <c r="D1" s="10"/>
    </row>
    <row r="3" spans="1:4" x14ac:dyDescent="0.4">
      <c r="A3" s="2" t="s">
        <v>32</v>
      </c>
      <c r="B3" s="2" t="s">
        <v>51</v>
      </c>
      <c r="C3" s="2" t="s">
        <v>52</v>
      </c>
      <c r="D3" s="2" t="s">
        <v>48</v>
      </c>
    </row>
    <row r="4" spans="1:4" x14ac:dyDescent="0.4">
      <c r="A4" s="7">
        <v>46038</v>
      </c>
      <c r="B4" s="3" t="s">
        <v>86</v>
      </c>
      <c r="C4" s="3">
        <v>2564.9904454105899</v>
      </c>
      <c r="D4" s="3"/>
    </row>
    <row r="5" spans="1:4" x14ac:dyDescent="0.4">
      <c r="A5" s="7">
        <v>46042</v>
      </c>
      <c r="B5" s="3" t="s">
        <v>86</v>
      </c>
      <c r="C5" s="3">
        <v>1538.5207123350899</v>
      </c>
      <c r="D5" s="3"/>
    </row>
    <row r="6" spans="1:4" x14ac:dyDescent="0.4">
      <c r="A6" s="7">
        <v>46100</v>
      </c>
      <c r="B6" s="3" t="s">
        <v>86</v>
      </c>
      <c r="C6" s="3">
        <v>638.25984834945996</v>
      </c>
      <c r="D6" s="3"/>
    </row>
    <row r="7" spans="1:4" x14ac:dyDescent="0.4">
      <c r="A7" s="7">
        <v>46148</v>
      </c>
      <c r="B7" s="3" t="s">
        <v>86</v>
      </c>
      <c r="C7" s="3">
        <v>4451.1317345094803</v>
      </c>
      <c r="D7" s="3"/>
    </row>
    <row r="8" spans="1:4" x14ac:dyDescent="0.4">
      <c r="A8" s="7">
        <v>46154</v>
      </c>
      <c r="B8" s="3" t="s">
        <v>86</v>
      </c>
      <c r="C8" s="3">
        <v>2937.99816063765</v>
      </c>
      <c r="D8" s="3"/>
    </row>
    <row r="9" spans="1:4" x14ac:dyDescent="0.4">
      <c r="A9" s="3"/>
      <c r="B9" s="3"/>
      <c r="C9" s="3"/>
      <c r="D9" s="3"/>
    </row>
    <row r="10" spans="1:4" x14ac:dyDescent="0.4">
      <c r="A10" s="3"/>
      <c r="B10" s="3"/>
      <c r="C10" s="3"/>
      <c r="D10" s="3"/>
    </row>
    <row r="11" spans="1:4" x14ac:dyDescent="0.4">
      <c r="A11" s="3"/>
      <c r="B11" s="3"/>
      <c r="C11" s="3"/>
      <c r="D11" s="3"/>
    </row>
    <row r="12" spans="1:4" x14ac:dyDescent="0.4">
      <c r="A12" s="3"/>
      <c r="B12" s="3"/>
      <c r="C12" s="3"/>
      <c r="D12" s="3"/>
    </row>
    <row r="13" spans="1:4" x14ac:dyDescent="0.4">
      <c r="A13" s="3"/>
      <c r="B13" s="3"/>
      <c r="C13" s="3"/>
      <c r="D13" s="3"/>
    </row>
    <row r="14" spans="1:4" x14ac:dyDescent="0.4">
      <c r="A14" s="3"/>
      <c r="B14" s="3"/>
      <c r="C14" s="3"/>
      <c r="D14" s="3"/>
    </row>
    <row r="15" spans="1:4" x14ac:dyDescent="0.4">
      <c r="A15" s="3"/>
      <c r="B15" s="3"/>
      <c r="C15" s="3"/>
      <c r="D15" s="3"/>
    </row>
    <row r="16" spans="1:4" x14ac:dyDescent="0.4">
      <c r="A16" s="3"/>
      <c r="B16" s="3"/>
      <c r="C16" s="3"/>
      <c r="D16" s="3"/>
    </row>
    <row r="17" spans="1:4" x14ac:dyDescent="0.4">
      <c r="A17" s="3"/>
      <c r="B17" s="3"/>
      <c r="C17" s="3"/>
      <c r="D17" s="3"/>
    </row>
    <row r="18" spans="1:4" x14ac:dyDescent="0.4">
      <c r="A18" s="3"/>
      <c r="B18" s="3"/>
      <c r="C18" s="3"/>
      <c r="D18" s="3"/>
    </row>
    <row r="19" spans="1:4" x14ac:dyDescent="0.4">
      <c r="A19" s="3"/>
      <c r="B19" s="3"/>
      <c r="C19" s="3"/>
      <c r="D19" s="3"/>
    </row>
    <row r="20" spans="1:4" x14ac:dyDescent="0.4">
      <c r="A20" s="3"/>
      <c r="B20" s="3"/>
      <c r="C20" s="3"/>
      <c r="D20" s="3"/>
    </row>
    <row r="21" spans="1:4" x14ac:dyDescent="0.4">
      <c r="A21" s="3"/>
      <c r="B21" s="3"/>
      <c r="C21" s="3"/>
      <c r="D21" s="3"/>
    </row>
    <row r="22" spans="1:4" x14ac:dyDescent="0.4">
      <c r="A22" s="3"/>
      <c r="B22" s="3"/>
      <c r="C22" s="3"/>
      <c r="D22" s="3"/>
    </row>
    <row r="23" spans="1:4" x14ac:dyDescent="0.4">
      <c r="A23" s="3"/>
      <c r="B23" s="3"/>
      <c r="C23" s="3"/>
      <c r="D23" s="3"/>
    </row>
    <row r="24" spans="1:4" x14ac:dyDescent="0.4">
      <c r="A24" s="3"/>
      <c r="B24" s="3"/>
      <c r="C24" s="3"/>
      <c r="D24" s="3"/>
    </row>
    <row r="25" spans="1:4" x14ac:dyDescent="0.4">
      <c r="A25" s="3"/>
      <c r="B25" s="3"/>
      <c r="C25" s="3"/>
      <c r="D25" s="3"/>
    </row>
    <row r="26" spans="1:4" x14ac:dyDescent="0.4">
      <c r="A26" s="3"/>
      <c r="B26" s="3"/>
      <c r="C26" s="3"/>
      <c r="D26" s="3"/>
    </row>
    <row r="27" spans="1:4" x14ac:dyDescent="0.4">
      <c r="A27" s="3"/>
      <c r="B27" s="3"/>
      <c r="C27" s="3"/>
      <c r="D27" s="3"/>
    </row>
    <row r="28" spans="1:4" x14ac:dyDescent="0.4">
      <c r="A28" s="3"/>
      <c r="B28" s="3"/>
      <c r="C28" s="3"/>
      <c r="D28" s="3"/>
    </row>
    <row r="29" spans="1:4" x14ac:dyDescent="0.4">
      <c r="A29" s="3"/>
      <c r="B29" s="3"/>
      <c r="C29" s="3"/>
      <c r="D29" s="3"/>
    </row>
    <row r="30" spans="1:4" x14ac:dyDescent="0.4">
      <c r="A30" s="3"/>
      <c r="B30" s="3"/>
      <c r="C30" s="3"/>
      <c r="D30" s="3"/>
    </row>
    <row r="31" spans="1:4" x14ac:dyDescent="0.4">
      <c r="A31" s="3"/>
      <c r="B31" s="3"/>
      <c r="C31" s="3"/>
      <c r="D31" s="3"/>
    </row>
    <row r="32" spans="1:4" x14ac:dyDescent="0.4">
      <c r="A32" s="3"/>
      <c r="B32" s="3"/>
      <c r="C32" s="3"/>
      <c r="D32" s="3"/>
    </row>
    <row r="33" spans="1:4" x14ac:dyDescent="0.4">
      <c r="A33" s="3"/>
      <c r="B33" s="3"/>
      <c r="C33" s="3"/>
      <c r="D33" s="3"/>
    </row>
    <row r="34" spans="1:4" x14ac:dyDescent="0.4">
      <c r="A34" s="3"/>
      <c r="B34" s="3"/>
      <c r="C34" s="3"/>
      <c r="D34" s="3"/>
    </row>
    <row r="35" spans="1:4" x14ac:dyDescent="0.4">
      <c r="A35" s="3"/>
      <c r="B35" s="3"/>
      <c r="C35" s="3"/>
      <c r="D35" s="3"/>
    </row>
    <row r="36" spans="1:4" x14ac:dyDescent="0.4">
      <c r="A36" s="3"/>
      <c r="B36" s="3"/>
      <c r="C36" s="3"/>
      <c r="D36" s="3"/>
    </row>
    <row r="37" spans="1:4" x14ac:dyDescent="0.4">
      <c r="A37" s="3"/>
      <c r="B37" s="3"/>
      <c r="C37" s="3"/>
      <c r="D37" s="3"/>
    </row>
    <row r="38" spans="1:4" x14ac:dyDescent="0.4">
      <c r="A38" s="3"/>
      <c r="B38" s="3"/>
      <c r="C38" s="3"/>
      <c r="D38" s="3"/>
    </row>
    <row r="39" spans="1:4" x14ac:dyDescent="0.4">
      <c r="A39" s="3"/>
      <c r="B39" s="3"/>
      <c r="C39" s="3"/>
      <c r="D39" s="3"/>
    </row>
    <row r="40" spans="1:4" x14ac:dyDescent="0.4">
      <c r="A40" s="3"/>
      <c r="B40" s="3"/>
      <c r="C40" s="3"/>
      <c r="D40" s="3"/>
    </row>
    <row r="41" spans="1:4" x14ac:dyDescent="0.4">
      <c r="A41" s="3"/>
      <c r="B41" s="3"/>
      <c r="C41" s="3"/>
      <c r="D41" s="3"/>
    </row>
    <row r="42" spans="1:4" x14ac:dyDescent="0.4">
      <c r="A42" s="3"/>
      <c r="B42" s="3"/>
      <c r="C42" s="3"/>
      <c r="D42" s="3"/>
    </row>
    <row r="43" spans="1:4" x14ac:dyDescent="0.4">
      <c r="A43" s="3"/>
      <c r="B43" s="3"/>
      <c r="C43" s="3"/>
      <c r="D43" s="3"/>
    </row>
    <row r="44" spans="1:4" x14ac:dyDescent="0.4">
      <c r="A44" s="3"/>
      <c r="B44" s="3"/>
      <c r="C44" s="3"/>
      <c r="D44" s="3"/>
    </row>
    <row r="45" spans="1:4" x14ac:dyDescent="0.4">
      <c r="A45" s="3"/>
      <c r="B45" s="3"/>
      <c r="C45" s="3"/>
      <c r="D45" s="3"/>
    </row>
    <row r="46" spans="1:4" x14ac:dyDescent="0.4">
      <c r="A46" s="3"/>
      <c r="B46" s="3"/>
      <c r="C46" s="3"/>
      <c r="D46" s="3"/>
    </row>
    <row r="47" spans="1:4" x14ac:dyDescent="0.4">
      <c r="A47" s="3"/>
      <c r="B47" s="3"/>
      <c r="C47" s="3"/>
      <c r="D47" s="3"/>
    </row>
    <row r="48" spans="1:4" x14ac:dyDescent="0.4">
      <c r="A48" s="3"/>
      <c r="B48" s="3"/>
      <c r="C48" s="3"/>
      <c r="D48" s="3"/>
    </row>
    <row r="49" spans="1:4" x14ac:dyDescent="0.4">
      <c r="A49" s="3"/>
      <c r="B49" s="3"/>
      <c r="C49" s="3"/>
      <c r="D49" s="3"/>
    </row>
    <row r="50" spans="1:4" x14ac:dyDescent="0.4">
      <c r="A50" s="3"/>
      <c r="B50" s="3"/>
      <c r="C50" s="3"/>
      <c r="D50" s="3"/>
    </row>
    <row r="51" spans="1:4" x14ac:dyDescent="0.4">
      <c r="A51" s="3"/>
      <c r="B51" s="3"/>
      <c r="C51" s="3"/>
      <c r="D51" s="3"/>
    </row>
    <row r="52" spans="1:4" x14ac:dyDescent="0.4">
      <c r="A52" s="3"/>
      <c r="B52" s="3"/>
      <c r="C52" s="3"/>
      <c r="D52" s="3"/>
    </row>
    <row r="53" spans="1:4" x14ac:dyDescent="0.4">
      <c r="A53" s="3"/>
      <c r="B53" s="3"/>
      <c r="C53" s="3"/>
      <c r="D53" s="3"/>
    </row>
    <row r="54" spans="1:4" x14ac:dyDescent="0.4">
      <c r="A54" s="3"/>
      <c r="B54" s="3"/>
      <c r="C54" s="3"/>
      <c r="D54" s="3"/>
    </row>
    <row r="55" spans="1:4" x14ac:dyDescent="0.4">
      <c r="A55" s="3"/>
      <c r="B55" s="3"/>
      <c r="C55" s="3"/>
      <c r="D55" s="3"/>
    </row>
    <row r="56" spans="1:4" x14ac:dyDescent="0.4">
      <c r="A56" s="3"/>
      <c r="B56" s="3"/>
      <c r="C56" s="3"/>
      <c r="D56" s="3"/>
    </row>
    <row r="57" spans="1:4" x14ac:dyDescent="0.4">
      <c r="A57" s="3"/>
      <c r="B57" s="3"/>
      <c r="C57" s="3"/>
      <c r="D57" s="3"/>
    </row>
    <row r="58" spans="1:4" x14ac:dyDescent="0.4">
      <c r="A58" s="3"/>
      <c r="B58" s="3"/>
      <c r="C58" s="3"/>
      <c r="D58" s="3"/>
    </row>
    <row r="59" spans="1:4" x14ac:dyDescent="0.4">
      <c r="A59" s="3"/>
      <c r="B59" s="3"/>
      <c r="C59" s="3"/>
      <c r="D59" s="3"/>
    </row>
    <row r="60" spans="1:4" x14ac:dyDescent="0.4">
      <c r="A60" s="3"/>
      <c r="B60" s="3"/>
      <c r="C60" s="3"/>
      <c r="D60" s="3"/>
    </row>
    <row r="61" spans="1:4" x14ac:dyDescent="0.4">
      <c r="A61" s="3"/>
      <c r="B61" s="3"/>
      <c r="C61" s="3"/>
      <c r="D61" s="3"/>
    </row>
    <row r="62" spans="1:4" x14ac:dyDescent="0.4">
      <c r="A62" s="3"/>
      <c r="B62" s="3"/>
      <c r="C62" s="3"/>
      <c r="D62" s="3"/>
    </row>
    <row r="63" spans="1:4" x14ac:dyDescent="0.4">
      <c r="A63" s="3"/>
      <c r="B63" s="3"/>
      <c r="C63" s="3"/>
      <c r="D63" s="3"/>
    </row>
    <row r="64" spans="1:4" x14ac:dyDescent="0.4">
      <c r="A64" s="3"/>
      <c r="B64" s="3"/>
      <c r="C64" s="3"/>
      <c r="D64" s="3"/>
    </row>
    <row r="65" spans="1:4" x14ac:dyDescent="0.4">
      <c r="A65" s="3"/>
      <c r="B65" s="3"/>
      <c r="C65" s="3"/>
      <c r="D65" s="3"/>
    </row>
    <row r="66" spans="1:4" x14ac:dyDescent="0.4">
      <c r="A66" s="3"/>
      <c r="B66" s="3"/>
      <c r="C66" s="3"/>
      <c r="D66" s="3"/>
    </row>
    <row r="67" spans="1:4" x14ac:dyDescent="0.4">
      <c r="A67" s="3"/>
      <c r="B67" s="3"/>
      <c r="C67" s="3"/>
      <c r="D67" s="3"/>
    </row>
    <row r="68" spans="1:4" x14ac:dyDescent="0.4">
      <c r="A68" s="3"/>
      <c r="B68" s="3"/>
      <c r="C68" s="3"/>
      <c r="D68" s="3"/>
    </row>
    <row r="69" spans="1:4" x14ac:dyDescent="0.4">
      <c r="A69" s="3"/>
      <c r="B69" s="3"/>
      <c r="C69" s="3"/>
      <c r="D69" s="3"/>
    </row>
    <row r="70" spans="1:4" x14ac:dyDescent="0.4">
      <c r="A70" s="3"/>
      <c r="B70" s="3"/>
      <c r="C70" s="3"/>
      <c r="D70" s="3"/>
    </row>
    <row r="71" spans="1:4" x14ac:dyDescent="0.4">
      <c r="A71" s="3"/>
      <c r="B71" s="3"/>
      <c r="C71" s="3"/>
      <c r="D71" s="3"/>
    </row>
    <row r="72" spans="1:4" x14ac:dyDescent="0.4">
      <c r="A72" s="3"/>
      <c r="B72" s="3"/>
      <c r="C72" s="3"/>
      <c r="D72" s="3"/>
    </row>
    <row r="73" spans="1:4" x14ac:dyDescent="0.4">
      <c r="A73" s="3"/>
      <c r="B73" s="3"/>
      <c r="C73" s="3"/>
      <c r="D73" s="3"/>
    </row>
    <row r="74" spans="1:4" x14ac:dyDescent="0.4">
      <c r="A74" s="3"/>
      <c r="B74" s="3"/>
      <c r="C74" s="3"/>
      <c r="D74" s="3"/>
    </row>
    <row r="75" spans="1:4" x14ac:dyDescent="0.4">
      <c r="A75" s="3"/>
      <c r="B75" s="3"/>
      <c r="C75" s="3"/>
      <c r="D75" s="3"/>
    </row>
    <row r="76" spans="1:4" x14ac:dyDescent="0.4">
      <c r="A76" s="3"/>
      <c r="B76" s="3"/>
      <c r="C76" s="3"/>
      <c r="D76" s="3"/>
    </row>
    <row r="77" spans="1:4" x14ac:dyDescent="0.4">
      <c r="A77" s="3"/>
      <c r="B77" s="3"/>
      <c r="C77" s="3"/>
      <c r="D77" s="3"/>
    </row>
    <row r="78" spans="1:4" x14ac:dyDescent="0.4">
      <c r="A78" s="3"/>
      <c r="B78" s="3"/>
      <c r="C78" s="3"/>
      <c r="D78" s="3"/>
    </row>
    <row r="79" spans="1:4" x14ac:dyDescent="0.4">
      <c r="A79" s="3"/>
      <c r="B79" s="3"/>
      <c r="C79" s="3"/>
      <c r="D79" s="3"/>
    </row>
    <row r="80" spans="1:4" x14ac:dyDescent="0.4">
      <c r="A80" s="3"/>
      <c r="B80" s="3"/>
      <c r="C80" s="3"/>
      <c r="D80" s="3"/>
    </row>
    <row r="81" spans="1:4" x14ac:dyDescent="0.4">
      <c r="A81" s="3"/>
      <c r="B81" s="3"/>
      <c r="C81" s="3"/>
      <c r="D81" s="3"/>
    </row>
    <row r="82" spans="1:4" x14ac:dyDescent="0.4">
      <c r="A82" s="3"/>
      <c r="B82" s="3"/>
      <c r="C82" s="3"/>
      <c r="D82" s="3"/>
    </row>
    <row r="83" spans="1:4" x14ac:dyDescent="0.4">
      <c r="A83" s="3"/>
      <c r="B83" s="3"/>
      <c r="C83" s="3"/>
      <c r="D83" s="3"/>
    </row>
    <row r="84" spans="1:4" x14ac:dyDescent="0.4">
      <c r="A84" s="3"/>
      <c r="B84" s="3"/>
      <c r="C84" s="3"/>
      <c r="D84" s="3"/>
    </row>
    <row r="85" spans="1:4" x14ac:dyDescent="0.4">
      <c r="A85" s="3"/>
      <c r="B85" s="3"/>
      <c r="C85" s="3"/>
      <c r="D85" s="3"/>
    </row>
    <row r="86" spans="1:4" x14ac:dyDescent="0.4">
      <c r="A86" s="3"/>
      <c r="B86" s="3"/>
      <c r="C86" s="3"/>
      <c r="D86" s="3"/>
    </row>
    <row r="87" spans="1:4" x14ac:dyDescent="0.4">
      <c r="A87" s="3"/>
      <c r="B87" s="3"/>
      <c r="C87" s="3"/>
      <c r="D87" s="3"/>
    </row>
    <row r="88" spans="1:4" x14ac:dyDescent="0.4">
      <c r="A88" s="3"/>
      <c r="B88" s="3"/>
      <c r="C88" s="3"/>
      <c r="D88" s="3"/>
    </row>
    <row r="89" spans="1:4" x14ac:dyDescent="0.4">
      <c r="A89" s="3"/>
      <c r="B89" s="3"/>
      <c r="C89" s="3"/>
      <c r="D89" s="3"/>
    </row>
    <row r="90" spans="1:4" x14ac:dyDescent="0.4">
      <c r="A90" s="3"/>
      <c r="B90" s="3"/>
      <c r="C90" s="3"/>
      <c r="D90" s="3"/>
    </row>
    <row r="91" spans="1:4" x14ac:dyDescent="0.4">
      <c r="A91" s="3"/>
      <c r="B91" s="3"/>
      <c r="C91" s="3"/>
      <c r="D91" s="3"/>
    </row>
    <row r="92" spans="1:4" x14ac:dyDescent="0.4">
      <c r="A92" s="3"/>
      <c r="B92" s="3"/>
      <c r="C92" s="3"/>
      <c r="D92" s="3"/>
    </row>
    <row r="93" spans="1:4" x14ac:dyDescent="0.4">
      <c r="A93" s="3"/>
      <c r="B93" s="3"/>
      <c r="C93" s="3"/>
      <c r="D93" s="3"/>
    </row>
    <row r="94" spans="1:4" x14ac:dyDescent="0.4">
      <c r="A94" s="3"/>
      <c r="B94" s="3"/>
      <c r="C94" s="3"/>
      <c r="D94" s="3"/>
    </row>
    <row r="95" spans="1:4" x14ac:dyDescent="0.4">
      <c r="A95" s="3"/>
      <c r="B95" s="3"/>
      <c r="C95" s="3"/>
      <c r="D95" s="3"/>
    </row>
    <row r="96" spans="1:4" x14ac:dyDescent="0.4">
      <c r="A96" s="3"/>
      <c r="B96" s="3"/>
      <c r="C96" s="3"/>
      <c r="D96" s="3"/>
    </row>
    <row r="97" spans="1:4" x14ac:dyDescent="0.4">
      <c r="A97" s="3"/>
      <c r="B97" s="3"/>
      <c r="C97" s="3"/>
      <c r="D97" s="3"/>
    </row>
    <row r="98" spans="1:4" x14ac:dyDescent="0.4">
      <c r="A98" s="3"/>
      <c r="B98" s="3"/>
      <c r="C98" s="3"/>
      <c r="D98" s="3"/>
    </row>
    <row r="99" spans="1:4" x14ac:dyDescent="0.4">
      <c r="A99" s="3"/>
      <c r="B99" s="3"/>
      <c r="C99" s="3"/>
      <c r="D99" s="3"/>
    </row>
    <row r="100" spans="1:4" x14ac:dyDescent="0.4">
      <c r="A100" s="3"/>
      <c r="B100" s="3"/>
      <c r="C100" s="3"/>
      <c r="D100" s="3"/>
    </row>
    <row r="101" spans="1:4" x14ac:dyDescent="0.4">
      <c r="A101" s="3"/>
      <c r="B101" s="3"/>
      <c r="C101" s="3"/>
      <c r="D101" s="3"/>
    </row>
    <row r="102" spans="1:4" x14ac:dyDescent="0.4">
      <c r="A102" s="3"/>
      <c r="B102" s="3"/>
      <c r="C102" s="3"/>
      <c r="D102" s="3"/>
    </row>
    <row r="103" spans="1:4" x14ac:dyDescent="0.4">
      <c r="A103" s="3"/>
      <c r="B103" s="3"/>
      <c r="C103" s="3"/>
      <c r="D103" s="3"/>
    </row>
    <row r="104" spans="1:4" x14ac:dyDescent="0.4">
      <c r="A104" s="3"/>
      <c r="B104" s="3"/>
      <c r="C104" s="3"/>
      <c r="D104" s="3"/>
    </row>
    <row r="105" spans="1:4" x14ac:dyDescent="0.4">
      <c r="A105" s="3"/>
      <c r="B105" s="3"/>
      <c r="C105" s="3"/>
      <c r="D105" s="3"/>
    </row>
    <row r="106" spans="1:4" x14ac:dyDescent="0.4">
      <c r="A106" s="3"/>
      <c r="B106" s="3"/>
      <c r="C106" s="3"/>
      <c r="D106" s="3"/>
    </row>
    <row r="107" spans="1:4" x14ac:dyDescent="0.4">
      <c r="A107" s="3"/>
      <c r="B107" s="3"/>
      <c r="C107" s="3"/>
      <c r="D107" s="3"/>
    </row>
    <row r="108" spans="1:4" x14ac:dyDescent="0.4">
      <c r="A108" s="3"/>
      <c r="B108" s="3"/>
      <c r="C108" s="3"/>
      <c r="D108" s="3"/>
    </row>
    <row r="109" spans="1:4" x14ac:dyDescent="0.4">
      <c r="A109" s="3"/>
      <c r="B109" s="3"/>
      <c r="C109" s="3"/>
      <c r="D109" s="3"/>
    </row>
    <row r="110" spans="1:4" x14ac:dyDescent="0.4">
      <c r="A110" s="3"/>
      <c r="B110" s="3"/>
      <c r="C110" s="3"/>
      <c r="D110" s="3"/>
    </row>
    <row r="111" spans="1:4" x14ac:dyDescent="0.4">
      <c r="A111" s="3"/>
      <c r="B111" s="3"/>
      <c r="C111" s="3"/>
      <c r="D111" s="3"/>
    </row>
    <row r="112" spans="1:4" x14ac:dyDescent="0.4">
      <c r="A112" s="3"/>
      <c r="B112" s="3"/>
      <c r="C112" s="3"/>
      <c r="D112" s="3"/>
    </row>
    <row r="113" spans="1:4" x14ac:dyDescent="0.4">
      <c r="A113" s="3"/>
      <c r="B113" s="3"/>
      <c r="C113" s="3"/>
      <c r="D113" s="3"/>
    </row>
    <row r="114" spans="1:4" x14ac:dyDescent="0.4">
      <c r="A114" s="3"/>
      <c r="B114" s="3"/>
      <c r="C114" s="3"/>
      <c r="D114" s="3"/>
    </row>
    <row r="115" spans="1:4" x14ac:dyDescent="0.4">
      <c r="A115" s="3"/>
      <c r="B115" s="3"/>
      <c r="C115" s="3"/>
      <c r="D115" s="3"/>
    </row>
    <row r="116" spans="1:4" x14ac:dyDescent="0.4">
      <c r="A116" s="3"/>
      <c r="B116" s="3"/>
      <c r="C116" s="3"/>
      <c r="D116" s="3"/>
    </row>
    <row r="117" spans="1:4" x14ac:dyDescent="0.4">
      <c r="A117" s="3"/>
      <c r="B117" s="3"/>
      <c r="C117" s="3"/>
      <c r="D117" s="3"/>
    </row>
    <row r="118" spans="1:4" x14ac:dyDescent="0.4">
      <c r="A118" s="3"/>
      <c r="B118" s="3"/>
      <c r="C118" s="3"/>
      <c r="D118" s="3"/>
    </row>
    <row r="119" spans="1:4" x14ac:dyDescent="0.4">
      <c r="A119" s="3"/>
      <c r="B119" s="3"/>
      <c r="C119" s="3"/>
      <c r="D119" s="3"/>
    </row>
    <row r="120" spans="1:4" x14ac:dyDescent="0.4">
      <c r="A120" s="3"/>
      <c r="B120" s="3"/>
      <c r="C120" s="3"/>
      <c r="D120" s="3"/>
    </row>
    <row r="121" spans="1:4" x14ac:dyDescent="0.4">
      <c r="A121" s="3"/>
      <c r="B121" s="3"/>
      <c r="C121" s="3"/>
      <c r="D121" s="3"/>
    </row>
    <row r="122" spans="1:4" x14ac:dyDescent="0.4">
      <c r="A122" s="3"/>
      <c r="B122" s="3"/>
      <c r="C122" s="3"/>
      <c r="D122" s="3"/>
    </row>
    <row r="123" spans="1:4" x14ac:dyDescent="0.4">
      <c r="A123" s="3"/>
      <c r="B123" s="3"/>
      <c r="C123" s="3"/>
      <c r="D123" s="3"/>
    </row>
    <row r="124" spans="1:4" x14ac:dyDescent="0.4">
      <c r="A124" s="3"/>
      <c r="B124" s="3"/>
      <c r="C124" s="3"/>
      <c r="D124" s="3"/>
    </row>
    <row r="125" spans="1:4" x14ac:dyDescent="0.4">
      <c r="A125" s="3"/>
      <c r="B125" s="3"/>
      <c r="C125" s="3"/>
      <c r="D125" s="3"/>
    </row>
    <row r="126" spans="1:4" x14ac:dyDescent="0.4">
      <c r="A126" s="3"/>
      <c r="B126" s="3"/>
      <c r="C126" s="3"/>
      <c r="D126" s="3"/>
    </row>
    <row r="127" spans="1:4" x14ac:dyDescent="0.4">
      <c r="A127" s="3"/>
      <c r="B127" s="3"/>
      <c r="C127" s="3"/>
      <c r="D127" s="3"/>
    </row>
    <row r="128" spans="1:4" x14ac:dyDescent="0.4">
      <c r="A128" s="3"/>
      <c r="B128" s="3"/>
      <c r="C128" s="3"/>
      <c r="D128" s="3"/>
    </row>
    <row r="129" spans="1:4" x14ac:dyDescent="0.4">
      <c r="A129" s="3"/>
      <c r="B129" s="3"/>
      <c r="C129" s="3"/>
      <c r="D129" s="3"/>
    </row>
    <row r="130" spans="1:4" x14ac:dyDescent="0.4">
      <c r="A130" s="3"/>
      <c r="B130" s="3"/>
      <c r="C130" s="3"/>
      <c r="D130" s="3"/>
    </row>
    <row r="131" spans="1:4" x14ac:dyDescent="0.4">
      <c r="A131" s="3"/>
      <c r="B131" s="3"/>
      <c r="C131" s="3"/>
      <c r="D131" s="3"/>
    </row>
    <row r="132" spans="1:4" x14ac:dyDescent="0.4">
      <c r="A132" s="3"/>
      <c r="B132" s="3"/>
      <c r="C132" s="3"/>
      <c r="D132" s="3"/>
    </row>
    <row r="133" spans="1:4" x14ac:dyDescent="0.4">
      <c r="A133" s="3"/>
      <c r="B133" s="3"/>
      <c r="C133" s="3"/>
      <c r="D133" s="3"/>
    </row>
    <row r="134" spans="1:4" x14ac:dyDescent="0.4">
      <c r="A134" s="3"/>
      <c r="B134" s="3"/>
      <c r="C134" s="3"/>
      <c r="D134" s="3"/>
    </row>
    <row r="135" spans="1:4" x14ac:dyDescent="0.4">
      <c r="A135" s="3"/>
      <c r="B135" s="3"/>
      <c r="C135" s="3"/>
      <c r="D135" s="3"/>
    </row>
    <row r="136" spans="1:4" x14ac:dyDescent="0.4">
      <c r="A136" s="3"/>
      <c r="B136" s="3"/>
      <c r="C136" s="3"/>
      <c r="D136" s="3"/>
    </row>
    <row r="137" spans="1:4" x14ac:dyDescent="0.4">
      <c r="A137" s="3"/>
      <c r="B137" s="3"/>
      <c r="C137" s="3"/>
      <c r="D137" s="3"/>
    </row>
    <row r="138" spans="1:4" x14ac:dyDescent="0.4">
      <c r="A138" s="3"/>
      <c r="B138" s="3"/>
      <c r="C138" s="3"/>
      <c r="D138" s="3"/>
    </row>
    <row r="139" spans="1:4" x14ac:dyDescent="0.4">
      <c r="A139" s="3"/>
      <c r="B139" s="3"/>
      <c r="C139" s="3"/>
      <c r="D139" s="3"/>
    </row>
    <row r="140" spans="1:4" x14ac:dyDescent="0.4">
      <c r="A140" s="3"/>
      <c r="B140" s="3"/>
      <c r="C140" s="3"/>
      <c r="D140" s="3"/>
    </row>
    <row r="141" spans="1:4" x14ac:dyDescent="0.4">
      <c r="A141" s="3"/>
      <c r="B141" s="3"/>
      <c r="C141" s="3"/>
      <c r="D141" s="3"/>
    </row>
    <row r="142" spans="1:4" x14ac:dyDescent="0.4">
      <c r="A142" s="3"/>
      <c r="B142" s="3"/>
      <c r="C142" s="3"/>
      <c r="D142" s="3"/>
    </row>
    <row r="143" spans="1:4" x14ac:dyDescent="0.4">
      <c r="A143" s="3"/>
      <c r="B143" s="3"/>
      <c r="C143" s="3"/>
      <c r="D143" s="3"/>
    </row>
    <row r="144" spans="1:4" x14ac:dyDescent="0.4">
      <c r="A144" s="3"/>
      <c r="B144" s="3"/>
      <c r="C144" s="3"/>
      <c r="D144" s="3"/>
    </row>
    <row r="145" spans="1:4" x14ac:dyDescent="0.4">
      <c r="A145" s="3"/>
      <c r="B145" s="3"/>
      <c r="C145" s="3"/>
      <c r="D145" s="3"/>
    </row>
    <row r="146" spans="1:4" x14ac:dyDescent="0.4">
      <c r="A146" s="3"/>
      <c r="B146" s="3"/>
      <c r="C146" s="3"/>
      <c r="D146" s="3"/>
    </row>
    <row r="147" spans="1:4" x14ac:dyDescent="0.4">
      <c r="A147" s="3"/>
      <c r="B147" s="3"/>
      <c r="C147" s="3"/>
      <c r="D147" s="3"/>
    </row>
    <row r="148" spans="1:4" x14ac:dyDescent="0.4">
      <c r="A148" s="3"/>
      <c r="B148" s="3"/>
      <c r="C148" s="3"/>
      <c r="D148" s="3"/>
    </row>
    <row r="149" spans="1:4" x14ac:dyDescent="0.4">
      <c r="A149" s="3"/>
      <c r="B149" s="3"/>
      <c r="C149" s="3"/>
      <c r="D149" s="3"/>
    </row>
    <row r="150" spans="1:4" x14ac:dyDescent="0.4">
      <c r="A150" s="3"/>
      <c r="B150" s="3"/>
      <c r="C150" s="3"/>
      <c r="D150" s="3"/>
    </row>
    <row r="151" spans="1:4" x14ac:dyDescent="0.4">
      <c r="A151" s="3"/>
      <c r="B151" s="3"/>
      <c r="C151" s="3"/>
      <c r="D151" s="3"/>
    </row>
    <row r="152" spans="1:4" x14ac:dyDescent="0.4">
      <c r="A152" s="3"/>
      <c r="B152" s="3"/>
      <c r="C152" s="3"/>
      <c r="D152" s="3"/>
    </row>
    <row r="153" spans="1:4" x14ac:dyDescent="0.4">
      <c r="A153" s="3"/>
      <c r="B153" s="3"/>
      <c r="C153" s="3"/>
      <c r="D153" s="3"/>
    </row>
    <row r="154" spans="1:4" x14ac:dyDescent="0.4">
      <c r="A154" s="3"/>
      <c r="B154" s="3"/>
      <c r="C154" s="3"/>
      <c r="D154" s="3"/>
    </row>
    <row r="155" spans="1:4" x14ac:dyDescent="0.4">
      <c r="A155" s="3"/>
      <c r="B155" s="3"/>
      <c r="C155" s="3"/>
      <c r="D155" s="3"/>
    </row>
    <row r="156" spans="1:4" x14ac:dyDescent="0.4">
      <c r="A156" s="3"/>
      <c r="B156" s="3"/>
      <c r="C156" s="3"/>
      <c r="D156" s="3"/>
    </row>
    <row r="157" spans="1:4" x14ac:dyDescent="0.4">
      <c r="A157" s="3"/>
      <c r="B157" s="3"/>
      <c r="C157" s="3"/>
      <c r="D157" s="3"/>
    </row>
    <row r="158" spans="1:4" x14ac:dyDescent="0.4">
      <c r="A158" s="3"/>
      <c r="B158" s="3"/>
      <c r="C158" s="3"/>
      <c r="D158" s="3"/>
    </row>
    <row r="159" spans="1:4" x14ac:dyDescent="0.4">
      <c r="A159" s="3"/>
      <c r="B159" s="3"/>
      <c r="C159" s="3"/>
      <c r="D159" s="3"/>
    </row>
    <row r="160" spans="1:4" x14ac:dyDescent="0.4">
      <c r="A160" s="3"/>
      <c r="B160" s="3"/>
      <c r="C160" s="3"/>
      <c r="D160" s="3"/>
    </row>
    <row r="161" spans="1:4" x14ac:dyDescent="0.4">
      <c r="A161" s="3"/>
      <c r="B161" s="3"/>
      <c r="C161" s="3"/>
      <c r="D161" s="3"/>
    </row>
    <row r="162" spans="1:4" x14ac:dyDescent="0.4">
      <c r="A162" s="3"/>
      <c r="B162" s="3"/>
      <c r="C162" s="3"/>
      <c r="D162" s="3"/>
    </row>
    <row r="163" spans="1:4" x14ac:dyDescent="0.4">
      <c r="A163" s="3"/>
      <c r="B163" s="3"/>
      <c r="C163" s="3"/>
      <c r="D163" s="3"/>
    </row>
    <row r="164" spans="1:4" x14ac:dyDescent="0.4">
      <c r="A164" s="3"/>
      <c r="B164" s="3"/>
      <c r="C164" s="3"/>
      <c r="D164" s="3"/>
    </row>
    <row r="165" spans="1:4" x14ac:dyDescent="0.4">
      <c r="A165" s="3"/>
      <c r="B165" s="3"/>
      <c r="C165" s="3"/>
      <c r="D165" s="3"/>
    </row>
    <row r="166" spans="1:4" x14ac:dyDescent="0.4">
      <c r="A166" s="3"/>
      <c r="B166" s="3"/>
      <c r="C166" s="3"/>
      <c r="D166" s="3"/>
    </row>
    <row r="167" spans="1:4" x14ac:dyDescent="0.4">
      <c r="A167" s="3"/>
      <c r="B167" s="3"/>
      <c r="C167" s="3"/>
      <c r="D167" s="3"/>
    </row>
    <row r="168" spans="1:4" x14ac:dyDescent="0.4">
      <c r="A168" s="3"/>
      <c r="B168" s="3"/>
      <c r="C168" s="3"/>
      <c r="D168" s="3"/>
    </row>
    <row r="169" spans="1:4" x14ac:dyDescent="0.4">
      <c r="A169" s="3"/>
      <c r="B169" s="3"/>
      <c r="C169" s="3"/>
      <c r="D169" s="3"/>
    </row>
    <row r="170" spans="1:4" x14ac:dyDescent="0.4">
      <c r="A170" s="3"/>
      <c r="B170" s="3"/>
      <c r="C170" s="3"/>
      <c r="D170" s="3"/>
    </row>
    <row r="171" spans="1:4" x14ac:dyDescent="0.4">
      <c r="A171" s="3"/>
      <c r="B171" s="3"/>
      <c r="C171" s="3"/>
      <c r="D171" s="3"/>
    </row>
    <row r="172" spans="1:4" x14ac:dyDescent="0.4">
      <c r="A172" s="3"/>
      <c r="B172" s="3"/>
      <c r="C172" s="3"/>
      <c r="D172" s="3"/>
    </row>
    <row r="173" spans="1:4" x14ac:dyDescent="0.4">
      <c r="A173" s="3"/>
      <c r="B173" s="3"/>
      <c r="C173" s="3"/>
      <c r="D173" s="3"/>
    </row>
    <row r="174" spans="1:4" x14ac:dyDescent="0.4">
      <c r="A174" s="3"/>
      <c r="B174" s="3"/>
      <c r="C174" s="3"/>
      <c r="D174" s="3"/>
    </row>
    <row r="175" spans="1:4" x14ac:dyDescent="0.4">
      <c r="A175" s="3"/>
      <c r="B175" s="3"/>
      <c r="C175" s="3"/>
      <c r="D175" s="3"/>
    </row>
    <row r="176" spans="1:4" x14ac:dyDescent="0.4">
      <c r="A176" s="3"/>
      <c r="B176" s="3"/>
      <c r="C176" s="3"/>
      <c r="D176" s="3"/>
    </row>
    <row r="177" spans="1:4" x14ac:dyDescent="0.4">
      <c r="A177" s="3"/>
      <c r="B177" s="3"/>
      <c r="C177" s="3"/>
      <c r="D177" s="3"/>
    </row>
    <row r="178" spans="1:4" x14ac:dyDescent="0.4">
      <c r="A178" s="3"/>
      <c r="B178" s="3"/>
      <c r="C178" s="3"/>
      <c r="D178" s="3"/>
    </row>
    <row r="179" spans="1:4" x14ac:dyDescent="0.4">
      <c r="A179" s="3"/>
      <c r="B179" s="3"/>
      <c r="C179" s="3"/>
      <c r="D179" s="3"/>
    </row>
    <row r="180" spans="1:4" x14ac:dyDescent="0.4">
      <c r="A180" s="3"/>
      <c r="B180" s="3"/>
      <c r="C180" s="3"/>
      <c r="D180" s="3"/>
    </row>
    <row r="181" spans="1:4" x14ac:dyDescent="0.4">
      <c r="A181" s="3"/>
      <c r="B181" s="3"/>
      <c r="C181" s="3"/>
      <c r="D181" s="3"/>
    </row>
    <row r="182" spans="1:4" x14ac:dyDescent="0.4">
      <c r="A182" s="3"/>
      <c r="B182" s="3"/>
      <c r="C182" s="3"/>
      <c r="D182" s="3"/>
    </row>
    <row r="183" spans="1:4" x14ac:dyDescent="0.4">
      <c r="A183" s="3"/>
      <c r="B183" s="3"/>
      <c r="C183" s="3"/>
      <c r="D183" s="3"/>
    </row>
    <row r="184" spans="1:4" x14ac:dyDescent="0.4">
      <c r="A184" s="3"/>
      <c r="B184" s="3"/>
      <c r="C184" s="3"/>
      <c r="D184" s="3"/>
    </row>
    <row r="185" spans="1:4" x14ac:dyDescent="0.4">
      <c r="A185" s="3"/>
      <c r="B185" s="3"/>
      <c r="C185" s="3"/>
      <c r="D185" s="3"/>
    </row>
    <row r="186" spans="1:4" x14ac:dyDescent="0.4">
      <c r="A186" s="3"/>
      <c r="B186" s="3"/>
      <c r="C186" s="3"/>
      <c r="D186" s="3"/>
    </row>
    <row r="187" spans="1:4" x14ac:dyDescent="0.4">
      <c r="A187" s="3"/>
      <c r="B187" s="3"/>
      <c r="C187" s="3"/>
      <c r="D187" s="3"/>
    </row>
    <row r="188" spans="1:4" x14ac:dyDescent="0.4">
      <c r="A188" s="3"/>
      <c r="B188" s="3"/>
      <c r="C188" s="3"/>
      <c r="D188" s="3"/>
    </row>
    <row r="189" spans="1:4" x14ac:dyDescent="0.4">
      <c r="A189" s="3"/>
      <c r="B189" s="3"/>
      <c r="C189" s="3"/>
      <c r="D189" s="3"/>
    </row>
    <row r="190" spans="1:4" x14ac:dyDescent="0.4">
      <c r="A190" s="3"/>
      <c r="B190" s="3"/>
      <c r="C190" s="3"/>
      <c r="D190" s="3"/>
    </row>
    <row r="191" spans="1:4" x14ac:dyDescent="0.4">
      <c r="A191" s="3"/>
      <c r="B191" s="3"/>
      <c r="C191" s="3"/>
      <c r="D191" s="3"/>
    </row>
    <row r="192" spans="1:4" x14ac:dyDescent="0.4">
      <c r="A192" s="3"/>
      <c r="B192" s="3"/>
      <c r="C192" s="3"/>
      <c r="D192" s="3"/>
    </row>
    <row r="193" spans="1:4" x14ac:dyDescent="0.4">
      <c r="A193" s="3"/>
      <c r="B193" s="3"/>
      <c r="C193" s="3"/>
      <c r="D193" s="3"/>
    </row>
    <row r="194" spans="1:4" x14ac:dyDescent="0.4">
      <c r="A194" s="3"/>
      <c r="B194" s="3"/>
      <c r="C194" s="3"/>
      <c r="D194" s="3"/>
    </row>
    <row r="195" spans="1:4" x14ac:dyDescent="0.4">
      <c r="A195" s="3"/>
      <c r="B195" s="3"/>
      <c r="C195" s="3"/>
      <c r="D195" s="3"/>
    </row>
    <row r="196" spans="1:4" x14ac:dyDescent="0.4">
      <c r="A196" s="3"/>
      <c r="B196" s="3"/>
      <c r="C196" s="3"/>
      <c r="D196" s="3"/>
    </row>
    <row r="197" spans="1:4" x14ac:dyDescent="0.4">
      <c r="A197" s="3"/>
      <c r="B197" s="3"/>
      <c r="C197" s="3"/>
      <c r="D197" s="3"/>
    </row>
    <row r="198" spans="1:4" x14ac:dyDescent="0.4">
      <c r="A198" s="3"/>
      <c r="B198" s="3"/>
      <c r="C198" s="3"/>
      <c r="D198" s="3"/>
    </row>
    <row r="199" spans="1:4" x14ac:dyDescent="0.4">
      <c r="A199" s="3"/>
      <c r="B199" s="3"/>
      <c r="C199" s="3"/>
      <c r="D199" s="3"/>
    </row>
    <row r="200" spans="1:4" x14ac:dyDescent="0.4">
      <c r="A200" s="3"/>
      <c r="B200" s="3"/>
      <c r="C200" s="3"/>
      <c r="D200" s="3"/>
    </row>
    <row r="201" spans="1:4" x14ac:dyDescent="0.4">
      <c r="A201" s="3"/>
      <c r="B201" s="3"/>
      <c r="C201" s="3"/>
      <c r="D201" s="3"/>
    </row>
    <row r="202" spans="1:4" x14ac:dyDescent="0.4">
      <c r="A202" s="3"/>
      <c r="B202" s="3"/>
      <c r="C202" s="3"/>
      <c r="D202" s="3"/>
    </row>
    <row r="203" spans="1:4" x14ac:dyDescent="0.4">
      <c r="A203" s="3"/>
      <c r="B203" s="3"/>
      <c r="C203" s="3"/>
      <c r="D203" s="3"/>
    </row>
  </sheetData>
  <mergeCells count="1">
    <mergeCell ref="A1:D1"/>
  </mergeCells>
  <dataValidations count="1">
    <dataValidation type="list" allowBlank="1" showInputMessage="1" showErrorMessage="1" sqref="B4:B203" xr:uid="{00000000-0002-0000-0400-000000000000}">
      <formula1>"Deposit,Withdrawal"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6"/>
  <sheetViews>
    <sheetView workbookViewId="0">
      <selection activeCell="F4" sqref="F4"/>
    </sheetView>
  </sheetViews>
  <sheetFormatPr defaultRowHeight="14.6" x14ac:dyDescent="0.4"/>
  <cols>
    <col min="1" max="9" width="16.69140625" customWidth="1"/>
  </cols>
  <sheetData>
    <row r="1" spans="1:9" ht="18.45" x14ac:dyDescent="0.5">
      <c r="A1" s="10" t="s">
        <v>53</v>
      </c>
      <c r="B1" s="10"/>
      <c r="C1" s="10"/>
      <c r="D1" s="10"/>
      <c r="E1" s="10"/>
      <c r="F1" s="10"/>
      <c r="G1" s="10"/>
      <c r="H1" s="10"/>
      <c r="I1" s="10"/>
    </row>
    <row r="3" spans="1:9" x14ac:dyDescent="0.4">
      <c r="A3" s="2" t="s">
        <v>33</v>
      </c>
      <c r="B3" s="2" t="s">
        <v>28</v>
      </c>
      <c r="C3" s="2" t="s">
        <v>54</v>
      </c>
      <c r="D3" s="2" t="s">
        <v>55</v>
      </c>
      <c r="E3" s="2" t="s">
        <v>56</v>
      </c>
      <c r="F3" s="2" t="s">
        <v>29</v>
      </c>
      <c r="G3" s="2" t="s">
        <v>57</v>
      </c>
      <c r="H3" s="2" t="s">
        <v>58</v>
      </c>
      <c r="I3" s="2" t="s">
        <v>59</v>
      </c>
    </row>
    <row r="4" spans="1:9" x14ac:dyDescent="0.4">
      <c r="A4" t="s">
        <v>21</v>
      </c>
      <c r="B4" t="s">
        <v>14</v>
      </c>
      <c r="C4" s="5">
        <f>SUMIFS(Transactions!$H:$H,Transactions!$B:$B,B4,Transactions!$C:$C,A4)</f>
        <v>830.99999999999989</v>
      </c>
      <c r="D4" s="4">
        <f>IFERROR(LOOKUP(2,1/((Transactions!$B$4:$B$206=B4)*(Transactions!$C$4:$C$206=A4)),Transactions!$O$4:$O$206),0)</f>
        <v>49319.215174332079</v>
      </c>
      <c r="E4" s="4">
        <f t="shared" ref="E4:E11" si="0">IF(C4=0,0,D4/C4)</f>
        <v>59.349236070195047</v>
      </c>
      <c r="F4" s="4">
        <f>IFERROR(VLOOKUP(B4,Prices!$A$4:$B$9,2,FALSE),0)</f>
        <v>59.86</v>
      </c>
      <c r="G4" s="4">
        <f t="shared" ref="G4:G11" si="1">C4*F4</f>
        <v>49743.659999999996</v>
      </c>
      <c r="H4" s="4">
        <f t="shared" ref="H4:H11" si="2">G4-D4</f>
        <v>424.44482566791703</v>
      </c>
      <c r="I4" s="6">
        <f t="shared" ref="I4:I11" si="3">IF($B$16=0,0,G4/$B$16)</f>
        <v>0.42446370352765539</v>
      </c>
    </row>
    <row r="5" spans="1:9" x14ac:dyDescent="0.4">
      <c r="A5" t="s">
        <v>21</v>
      </c>
      <c r="B5" t="s">
        <v>15</v>
      </c>
      <c r="C5" s="5">
        <f>SUMIFS(Transactions!$H:$H,Transactions!$B:$B,B5,Transactions!$C:$C,A5)</f>
        <v>171.45398</v>
      </c>
      <c r="D5" s="4">
        <f>IFERROR(LOOKUP(2,1/((Transactions!$B$4:$B$206=B5)*(Transactions!$C$4:$C$206=A5)),Transactions!$O$4:$O$206),0)</f>
        <v>35484.258411000003</v>
      </c>
      <c r="E5" s="4">
        <f t="shared" si="0"/>
        <v>206.96083235279812</v>
      </c>
      <c r="F5" s="4">
        <f>IFERROR(VLOOKUP(B5,Prices!$A$4:$B$9,2,FALSE),0)</f>
        <v>213.01</v>
      </c>
      <c r="G5" s="4">
        <f t="shared" si="1"/>
        <v>36521.412279799995</v>
      </c>
      <c r="H5" s="4">
        <f t="shared" si="2"/>
        <v>1037.1538687999928</v>
      </c>
      <c r="I5" s="6">
        <f t="shared" si="3"/>
        <v>0.31163798390275865</v>
      </c>
    </row>
    <row r="6" spans="1:9" x14ac:dyDescent="0.4">
      <c r="A6" t="s">
        <v>22</v>
      </c>
      <c r="B6" t="s">
        <v>16</v>
      </c>
      <c r="C6" s="5">
        <f>SUMIFS(Transactions!$H:$H,Transactions!$B:$B,B6,Transactions!$C:$C,A6)</f>
        <v>0</v>
      </c>
      <c r="D6" s="4">
        <f>IFERROR(LOOKUP(2,1/((Transactions!$B$4:$B$206=B6)*(Transactions!$C$4:$C$206=A6)),Transactions!$O$4:$O$206),0)</f>
        <v>0</v>
      </c>
      <c r="E6" s="4">
        <f t="shared" si="0"/>
        <v>0</v>
      </c>
      <c r="F6" s="4">
        <f>IFERROR(VLOOKUP(B6,Prices!$A$4:$B$9,2,FALSE),0)</f>
        <v>733.58</v>
      </c>
      <c r="G6" s="4">
        <f t="shared" si="1"/>
        <v>0</v>
      </c>
      <c r="H6" s="4">
        <f t="shared" si="2"/>
        <v>0</v>
      </c>
      <c r="I6" s="6">
        <f t="shared" si="3"/>
        <v>0</v>
      </c>
    </row>
    <row r="7" spans="1:9" x14ac:dyDescent="0.4">
      <c r="A7" t="s">
        <v>22</v>
      </c>
      <c r="B7" t="s">
        <v>17</v>
      </c>
      <c r="C7" s="5">
        <f>SUMIFS(Transactions!$H:$H,Transactions!$B:$B,B7,Transactions!$C:$C,A7)</f>
        <v>0</v>
      </c>
      <c r="D7" s="4">
        <f>IFERROR(LOOKUP(2,1/((Transactions!$B$4:$B$206=B7)*(Transactions!$C$4:$C$206=A7)),Transactions!$O$4:$O$206),0)</f>
        <v>0</v>
      </c>
      <c r="E7" s="4">
        <f t="shared" si="0"/>
        <v>0</v>
      </c>
      <c r="F7" s="4">
        <f>IFERROR(VLOOKUP(B7,Prices!$A$4:$B$9,2,FALSE),0)</f>
        <v>713.65</v>
      </c>
      <c r="G7" s="4">
        <f t="shared" si="1"/>
        <v>0</v>
      </c>
      <c r="H7" s="4">
        <f t="shared" si="2"/>
        <v>0</v>
      </c>
      <c r="I7" s="6">
        <f t="shared" si="3"/>
        <v>0</v>
      </c>
    </row>
    <row r="8" spans="1:9" x14ac:dyDescent="0.4">
      <c r="A8" t="s">
        <v>22</v>
      </c>
      <c r="B8" t="s">
        <v>18</v>
      </c>
      <c r="C8" s="5">
        <f>SUMIFS(Transactions!$H:$H,Transactions!$B:$B,B8,Transactions!$C:$C,A8)</f>
        <v>20</v>
      </c>
      <c r="D8" s="4">
        <f>IFERROR(LOOKUP(2,1/((Transactions!$B$4:$B$206=B8)*(Transactions!$C$4:$C$206=A8)),Transactions!$O$4:$O$206),0)</f>
        <v>12962.070000000002</v>
      </c>
      <c r="E8" s="4">
        <f t="shared" si="0"/>
        <v>648.10350000000005</v>
      </c>
      <c r="F8" s="4">
        <f>IFERROR(VLOOKUP(B8,Prices!$A$4:$B$9,2,FALSE),0)</f>
        <v>603.39</v>
      </c>
      <c r="G8" s="4">
        <f t="shared" si="1"/>
        <v>12067.8</v>
      </c>
      <c r="H8" s="4">
        <f t="shared" si="2"/>
        <v>-894.27000000000226</v>
      </c>
      <c r="I8" s="6">
        <f t="shared" si="3"/>
        <v>0.10297479279632901</v>
      </c>
    </row>
    <row r="9" spans="1:9" x14ac:dyDescent="0.4">
      <c r="A9" t="s">
        <v>23</v>
      </c>
      <c r="B9" t="s">
        <v>17</v>
      </c>
      <c r="C9" s="5">
        <f>SUMIFS(Transactions!$H:$H,Transactions!$B:$B,B9,Transactions!$C:$C,A9)</f>
        <v>0</v>
      </c>
      <c r="D9" s="4">
        <f>IFERROR(LOOKUP(2,1/((Transactions!$B$4:$B$206=B9)*(Transactions!$C$4:$C$206=A9)),Transactions!$O$4:$O$206),0)</f>
        <v>0</v>
      </c>
      <c r="E9" s="4">
        <f t="shared" si="0"/>
        <v>0</v>
      </c>
      <c r="F9" s="4">
        <f>IFERROR(VLOOKUP(B9,Prices!$A$4:$B$9,2,FALSE),0)</f>
        <v>713.65</v>
      </c>
      <c r="G9" s="4">
        <f t="shared" si="1"/>
        <v>0</v>
      </c>
      <c r="H9" s="4">
        <f t="shared" si="2"/>
        <v>0</v>
      </c>
      <c r="I9" s="6">
        <f t="shared" si="3"/>
        <v>0</v>
      </c>
    </row>
    <row r="10" spans="1:9" x14ac:dyDescent="0.4">
      <c r="A10" t="s">
        <v>23</v>
      </c>
      <c r="B10" t="s">
        <v>18</v>
      </c>
      <c r="C10" s="5">
        <f>SUMIFS(Transactions!$H:$H,Transactions!$B:$B,B10,Transactions!$C:$C,A10)</f>
        <v>0</v>
      </c>
      <c r="D10" s="4">
        <f>IFERROR(LOOKUP(2,1/((Transactions!$B$4:$B$206=B10)*(Transactions!$C$4:$C$206=A10)),Transactions!$O$4:$O$206),0)</f>
        <v>0</v>
      </c>
      <c r="E10" s="4">
        <f t="shared" si="0"/>
        <v>0</v>
      </c>
      <c r="F10" s="4">
        <f>IFERROR(VLOOKUP(B10,Prices!$A$4:$B$9,2,FALSE),0)</f>
        <v>603.39</v>
      </c>
      <c r="G10" s="4">
        <f t="shared" si="1"/>
        <v>0</v>
      </c>
      <c r="H10" s="4">
        <f t="shared" si="2"/>
        <v>0</v>
      </c>
      <c r="I10" s="6">
        <f t="shared" si="3"/>
        <v>0</v>
      </c>
    </row>
    <row r="11" spans="1:9" x14ac:dyDescent="0.4">
      <c r="A11" t="s">
        <v>23</v>
      </c>
      <c r="B11" t="s">
        <v>19</v>
      </c>
      <c r="C11" s="5">
        <f>SUMIFS(Transactions!$H:$H,Transactions!$B:$B,B11,Transactions!$C:$C,A11)</f>
        <v>0</v>
      </c>
      <c r="D11" s="4">
        <f>IFERROR(LOOKUP(2,1/((Transactions!$B$4:$B$206=B11)*(Transactions!$C$4:$C$206=A11)),Transactions!$O$4:$O$206),0)</f>
        <v>0</v>
      </c>
      <c r="E11" s="4">
        <f t="shared" si="0"/>
        <v>0</v>
      </c>
      <c r="F11" s="4">
        <f>IFERROR(VLOOKUP(B11,Prices!$A$4:$B$9,2,FALSE),0)</f>
        <v>74.44</v>
      </c>
      <c r="G11" s="4">
        <f t="shared" si="1"/>
        <v>0</v>
      </c>
      <c r="H11" s="4">
        <f t="shared" si="2"/>
        <v>0</v>
      </c>
      <c r="I11" s="6">
        <f t="shared" si="3"/>
        <v>0</v>
      </c>
    </row>
    <row r="15" spans="1:9" x14ac:dyDescent="0.4">
      <c r="A15" t="s">
        <v>60</v>
      </c>
      <c r="B15" s="4">
        <f>Config!$B$4+SUM(Transactions!$J$4:$J$206)+SUMIFS(Cash_Flow!$C:$C,Cash_Flow!$B:$B,"Deposit")-SUMIFS(Cash_Flow!$C:$C,Cash_Flow!$B:$B,"Withdrawal")</f>
        <v>18858.914877942261</v>
      </c>
    </row>
    <row r="16" spans="1:9" x14ac:dyDescent="0.4">
      <c r="A16" t="s">
        <v>61</v>
      </c>
      <c r="B16" s="4">
        <f>SUM(G4:G11)+B15</f>
        <v>117191.78715774225</v>
      </c>
    </row>
  </sheetData>
  <mergeCells count="1">
    <mergeCell ref="A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03"/>
  <sheetViews>
    <sheetView topLeftCell="A141" workbookViewId="0">
      <selection activeCell="F161" sqref="F161"/>
    </sheetView>
  </sheetViews>
  <sheetFormatPr defaultRowHeight="14.6" x14ac:dyDescent="0.4"/>
  <cols>
    <col min="1" max="1" width="10.07421875" bestFit="1" customWidth="1"/>
    <col min="2" max="2" width="13.4609375" bestFit="1" customWidth="1"/>
    <col min="3" max="3" width="15.15234375" bestFit="1" customWidth="1"/>
    <col min="4" max="4" width="9.921875" bestFit="1" customWidth="1"/>
  </cols>
  <sheetData>
    <row r="1" spans="1:4" ht="18.45" x14ac:dyDescent="0.5">
      <c r="A1" s="10" t="s">
        <v>62</v>
      </c>
      <c r="B1" s="10"/>
      <c r="C1" s="10"/>
      <c r="D1" s="10"/>
    </row>
    <row r="3" spans="1:4" x14ac:dyDescent="0.4">
      <c r="A3" s="2" t="s">
        <v>32</v>
      </c>
      <c r="B3" s="2" t="s">
        <v>63</v>
      </c>
      <c r="C3" s="2" t="s">
        <v>64</v>
      </c>
      <c r="D3" s="2" t="s">
        <v>65</v>
      </c>
    </row>
    <row r="4" spans="1:4" x14ac:dyDescent="0.4">
      <c r="A4" s="7">
        <v>46038</v>
      </c>
      <c r="B4" s="3">
        <v>101640.09</v>
      </c>
      <c r="C4" s="4">
        <f>IF(B4="","",MAX($B$4:B4))</f>
        <v>101640.09</v>
      </c>
      <c r="D4" s="6">
        <f t="shared" ref="D4:D35" si="0">IF(OR(B4="",C4=0),"",B4/C4-1)</f>
        <v>0</v>
      </c>
    </row>
    <row r="5" spans="1:4" x14ac:dyDescent="0.4">
      <c r="A5" s="7">
        <v>46039</v>
      </c>
      <c r="B5" s="3">
        <v>101639.92</v>
      </c>
      <c r="C5" s="4">
        <f>IF(B5="","",MAX($B$4:B5))</f>
        <v>101640.09</v>
      </c>
      <c r="D5" s="6">
        <f t="shared" si="0"/>
        <v>-1.6725683733564978E-6</v>
      </c>
    </row>
    <row r="6" spans="1:4" x14ac:dyDescent="0.4">
      <c r="A6" s="7">
        <v>46040</v>
      </c>
      <c r="B6" s="3">
        <v>101639.24</v>
      </c>
      <c r="C6" s="4">
        <f>IF(B6="","",MAX($B$4:B6))</f>
        <v>101640.09</v>
      </c>
      <c r="D6" s="6">
        <f t="shared" si="0"/>
        <v>-8.3628418667824889E-6</v>
      </c>
    </row>
    <row r="7" spans="1:4" x14ac:dyDescent="0.4">
      <c r="A7" s="7">
        <v>46041</v>
      </c>
      <c r="B7" s="3">
        <v>101720.03</v>
      </c>
      <c r="C7" s="4">
        <f>IF(B7="","",MAX($B$4:B7))</f>
        <v>101720.03</v>
      </c>
      <c r="D7" s="6">
        <f t="shared" si="0"/>
        <v>0</v>
      </c>
    </row>
    <row r="8" spans="1:4" x14ac:dyDescent="0.4">
      <c r="A8" s="7">
        <v>46042</v>
      </c>
      <c r="B8" s="3">
        <v>101528.06</v>
      </c>
      <c r="C8" s="4">
        <f>IF(B8="","",MAX($B$4:B8))</f>
        <v>101720.03</v>
      </c>
      <c r="D8" s="6">
        <f t="shared" si="0"/>
        <v>-1.8872389243298482E-3</v>
      </c>
    </row>
    <row r="9" spans="1:4" x14ac:dyDescent="0.4">
      <c r="A9" s="7">
        <v>46043</v>
      </c>
      <c r="B9" s="3">
        <v>102775.2</v>
      </c>
      <c r="C9" s="4">
        <f>IF(B9="","",MAX($B$4:B9))</f>
        <v>102775.2</v>
      </c>
      <c r="D9" s="6">
        <f t="shared" si="0"/>
        <v>0</v>
      </c>
    </row>
    <row r="10" spans="1:4" x14ac:dyDescent="0.4">
      <c r="A10" s="7">
        <v>46044</v>
      </c>
      <c r="B10" s="3">
        <v>103332.01</v>
      </c>
      <c r="C10" s="4">
        <f>IF(B10="","",MAX($B$4:B10))</f>
        <v>103332.01</v>
      </c>
      <c r="D10" s="6">
        <f t="shared" si="0"/>
        <v>0</v>
      </c>
    </row>
    <row r="11" spans="1:4" x14ac:dyDescent="0.4">
      <c r="A11" s="7">
        <v>46045</v>
      </c>
      <c r="B11" s="3">
        <v>103790.64</v>
      </c>
      <c r="C11" s="4">
        <f>IF(B11="","",MAX($B$4:B11))</f>
        <v>103790.64</v>
      </c>
      <c r="D11" s="6">
        <f t="shared" si="0"/>
        <v>0</v>
      </c>
    </row>
    <row r="12" spans="1:4" x14ac:dyDescent="0.4">
      <c r="A12" s="7">
        <v>46046</v>
      </c>
      <c r="B12" s="3">
        <v>103781.67</v>
      </c>
      <c r="C12" s="4">
        <f>IF(B12="","",MAX($B$4:B12))</f>
        <v>103790.64</v>
      </c>
      <c r="D12" s="6">
        <f t="shared" si="0"/>
        <v>-8.6423978115979239E-5</v>
      </c>
    </row>
    <row r="13" spans="1:4" x14ac:dyDescent="0.4">
      <c r="A13" s="7">
        <v>46047</v>
      </c>
      <c r="B13" s="3">
        <v>103777.53</v>
      </c>
      <c r="C13" s="4">
        <f>IF(B13="","",MAX($B$4:B13))</f>
        <v>103790.64</v>
      </c>
      <c r="D13" s="6">
        <f t="shared" si="0"/>
        <v>-1.2631196801560218E-4</v>
      </c>
    </row>
    <row r="14" spans="1:4" x14ac:dyDescent="0.4">
      <c r="A14" s="7">
        <v>46048</v>
      </c>
      <c r="B14" s="3">
        <v>103689.02</v>
      </c>
      <c r="C14" s="4">
        <f>IF(B14="","",MAX($B$4:B14))</f>
        <v>103790.64</v>
      </c>
      <c r="D14" s="6">
        <f t="shared" si="0"/>
        <v>-9.7908636077392863E-4</v>
      </c>
    </row>
    <row r="15" spans="1:4" x14ac:dyDescent="0.4">
      <c r="A15" s="7">
        <v>46049</v>
      </c>
      <c r="B15" s="3">
        <v>106441.34</v>
      </c>
      <c r="C15" s="4">
        <f>IF(B15="","",MAX($B$4:B15))</f>
        <v>106441.34</v>
      </c>
      <c r="D15" s="6">
        <f t="shared" si="0"/>
        <v>0</v>
      </c>
    </row>
    <row r="16" spans="1:4" x14ac:dyDescent="0.4">
      <c r="A16" s="7">
        <v>46050</v>
      </c>
      <c r="B16" s="3">
        <v>106812.29</v>
      </c>
      <c r="C16" s="4">
        <f>IF(B16="","",MAX($B$4:B16))</f>
        <v>106812.29</v>
      </c>
      <c r="D16" s="6">
        <f t="shared" si="0"/>
        <v>0</v>
      </c>
    </row>
    <row r="17" spans="1:4" x14ac:dyDescent="0.4">
      <c r="A17" s="7">
        <v>46051</v>
      </c>
      <c r="B17" s="3">
        <v>106618.12</v>
      </c>
      <c r="C17" s="4">
        <f>IF(B17="","",MAX($B$4:B17))</f>
        <v>106812.29</v>
      </c>
      <c r="D17" s="6">
        <f t="shared" si="0"/>
        <v>-1.8178619707526211E-3</v>
      </c>
    </row>
    <row r="18" spans="1:4" x14ac:dyDescent="0.4">
      <c r="A18" s="7">
        <v>46052</v>
      </c>
      <c r="B18" s="3">
        <v>105062.67</v>
      </c>
      <c r="C18" s="4">
        <f>IF(B18="","",MAX($B$4:B18))</f>
        <v>106812.29</v>
      </c>
      <c r="D18" s="6">
        <f t="shared" si="0"/>
        <v>-1.6380324773488053E-2</v>
      </c>
    </row>
    <row r="19" spans="1:4" x14ac:dyDescent="0.4">
      <c r="A19" s="7">
        <v>46053</v>
      </c>
      <c r="B19" s="3">
        <v>105062.96</v>
      </c>
      <c r="C19" s="4">
        <f>IF(B19="","",MAX($B$4:B19))</f>
        <v>106812.29</v>
      </c>
      <c r="D19" s="6">
        <f t="shared" si="0"/>
        <v>-1.6377609730116149E-2</v>
      </c>
    </row>
    <row r="20" spans="1:4" x14ac:dyDescent="0.4">
      <c r="A20" s="7">
        <v>46054</v>
      </c>
      <c r="B20" s="3">
        <v>105060.87</v>
      </c>
      <c r="C20" s="4">
        <f>IF(B20="","",MAX($B$4:B20))</f>
        <v>106812.29</v>
      </c>
      <c r="D20" s="6">
        <f t="shared" si="0"/>
        <v>-1.6397176766830834E-2</v>
      </c>
    </row>
    <row r="21" spans="1:4" x14ac:dyDescent="0.4">
      <c r="A21" s="7">
        <v>46055</v>
      </c>
      <c r="B21" s="3">
        <v>105374.25</v>
      </c>
      <c r="C21" s="4">
        <f>IF(B21="","",MAX($B$4:B21))</f>
        <v>106812.29</v>
      </c>
      <c r="D21" s="6">
        <f t="shared" si="0"/>
        <v>-1.3463244725864354E-2</v>
      </c>
    </row>
    <row r="22" spans="1:4" x14ac:dyDescent="0.4">
      <c r="A22" s="7">
        <v>46056</v>
      </c>
      <c r="B22" s="3">
        <v>104086.05</v>
      </c>
      <c r="C22" s="4">
        <f>IF(B22="","",MAX($B$4:B22))</f>
        <v>106812.29</v>
      </c>
      <c r="D22" s="6">
        <f t="shared" si="0"/>
        <v>-2.5523654628133108E-2</v>
      </c>
    </row>
    <row r="23" spans="1:4" x14ac:dyDescent="0.4">
      <c r="A23" s="7">
        <v>46057</v>
      </c>
      <c r="B23" s="3">
        <v>102625.99</v>
      </c>
      <c r="C23" s="4">
        <f>IF(B23="","",MAX($B$4:B23))</f>
        <v>106812.29</v>
      </c>
      <c r="D23" s="6">
        <f t="shared" si="0"/>
        <v>-3.919305540589002E-2</v>
      </c>
    </row>
    <row r="24" spans="1:4" x14ac:dyDescent="0.4">
      <c r="A24" s="7">
        <v>46058</v>
      </c>
      <c r="B24" s="3">
        <v>101722.26</v>
      </c>
      <c r="C24" s="4">
        <f>IF(B24="","",MAX($B$4:B24))</f>
        <v>106812.29</v>
      </c>
      <c r="D24" s="6">
        <f t="shared" si="0"/>
        <v>-4.7653973152340434E-2</v>
      </c>
    </row>
    <row r="25" spans="1:4" x14ac:dyDescent="0.4">
      <c r="A25" s="7">
        <v>46059</v>
      </c>
      <c r="B25" s="3">
        <v>103961.48</v>
      </c>
      <c r="C25" s="4">
        <f>IF(B25="","",MAX($B$4:B25))</f>
        <v>106812.29</v>
      </c>
      <c r="D25" s="6">
        <f t="shared" si="0"/>
        <v>-2.6689906189634183E-2</v>
      </c>
    </row>
    <row r="26" spans="1:4" x14ac:dyDescent="0.4">
      <c r="A26" s="7">
        <v>46060</v>
      </c>
      <c r="B26" s="3">
        <v>103962.01</v>
      </c>
      <c r="C26" s="4">
        <f>IF(B26="","",MAX($B$4:B26))</f>
        <v>106812.29</v>
      </c>
      <c r="D26" s="6">
        <f t="shared" si="0"/>
        <v>-2.6684944213816619E-2</v>
      </c>
    </row>
    <row r="27" spans="1:4" x14ac:dyDescent="0.4">
      <c r="A27" s="7">
        <v>46061</v>
      </c>
      <c r="B27" s="3">
        <v>103962.31</v>
      </c>
      <c r="C27" s="4">
        <f>IF(B27="","",MAX($B$4:B27))</f>
        <v>106812.29</v>
      </c>
      <c r="D27" s="6">
        <f t="shared" si="0"/>
        <v>-2.6682135548259489E-2</v>
      </c>
    </row>
    <row r="28" spans="1:4" x14ac:dyDescent="0.4">
      <c r="A28" s="7">
        <v>46062</v>
      </c>
      <c r="B28" s="3">
        <v>104768.64</v>
      </c>
      <c r="C28" s="4">
        <f>IF(B28="","",MAX($B$4:B28))</f>
        <v>106812.29</v>
      </c>
      <c r="D28" s="6">
        <f t="shared" si="0"/>
        <v>-1.9133097886020356E-2</v>
      </c>
    </row>
    <row r="29" spans="1:4" x14ac:dyDescent="0.4">
      <c r="A29" s="7">
        <v>46063</v>
      </c>
      <c r="B29" s="3">
        <v>104761.02</v>
      </c>
      <c r="C29" s="4">
        <f>IF(B29="","",MAX($B$4:B29))</f>
        <v>106812.29</v>
      </c>
      <c r="D29" s="6">
        <f t="shared" si="0"/>
        <v>-1.9204437991171108E-2</v>
      </c>
    </row>
    <row r="30" spans="1:4" x14ac:dyDescent="0.4">
      <c r="A30" s="7">
        <v>46064</v>
      </c>
      <c r="B30" s="3">
        <v>104943.36</v>
      </c>
      <c r="C30" s="4">
        <f>IF(B30="","",MAX($B$4:B30))</f>
        <v>106812.29</v>
      </c>
      <c r="D30" s="6">
        <f t="shared" si="0"/>
        <v>-1.7497331065554289E-2</v>
      </c>
    </row>
    <row r="31" spans="1:4" x14ac:dyDescent="0.4">
      <c r="A31" s="7">
        <v>46065</v>
      </c>
      <c r="B31" s="3">
        <v>103612.12</v>
      </c>
      <c r="C31" s="4">
        <f>IF(B31="","",MAX($B$4:B31))</f>
        <v>106812.29</v>
      </c>
      <c r="D31" s="6">
        <f t="shared" si="0"/>
        <v>-2.9960690853084393E-2</v>
      </c>
    </row>
    <row r="32" spans="1:4" x14ac:dyDescent="0.4">
      <c r="A32" s="7">
        <v>46066</v>
      </c>
      <c r="B32" s="3">
        <v>103548.57</v>
      </c>
      <c r="C32" s="4">
        <f>IF(B32="","",MAX($B$4:B32))</f>
        <v>106812.29</v>
      </c>
      <c r="D32" s="6">
        <f t="shared" si="0"/>
        <v>-3.0555659840267313E-2</v>
      </c>
    </row>
    <row r="33" spans="1:4" x14ac:dyDescent="0.4">
      <c r="A33" s="7">
        <v>46067</v>
      </c>
      <c r="B33" s="3">
        <v>103548.61</v>
      </c>
      <c r="C33" s="4">
        <f>IF(B33="","",MAX($B$4:B33))</f>
        <v>106812.29</v>
      </c>
      <c r="D33" s="6">
        <f t="shared" si="0"/>
        <v>-3.0555285351526407E-2</v>
      </c>
    </row>
    <row r="34" spans="1:4" x14ac:dyDescent="0.4">
      <c r="A34" s="7">
        <v>46068</v>
      </c>
      <c r="B34" s="3">
        <v>103549.48</v>
      </c>
      <c r="C34" s="4">
        <f>IF(B34="","",MAX($B$4:B34))</f>
        <v>106812.29</v>
      </c>
      <c r="D34" s="6">
        <f t="shared" si="0"/>
        <v>-3.0547140221410807E-2</v>
      </c>
    </row>
    <row r="35" spans="1:4" x14ac:dyDescent="0.4">
      <c r="A35" s="7">
        <v>46069</v>
      </c>
      <c r="B35" s="3">
        <v>103659.99</v>
      </c>
      <c r="C35" s="4">
        <f>IF(B35="","",MAX($B$4:B35))</f>
        <v>106812.29</v>
      </c>
      <c r="D35" s="6">
        <f t="shared" si="0"/>
        <v>-2.9512521452353391E-2</v>
      </c>
    </row>
    <row r="36" spans="1:4" x14ac:dyDescent="0.4">
      <c r="A36" s="7">
        <v>46070</v>
      </c>
      <c r="B36" s="3">
        <v>103739.82</v>
      </c>
      <c r="C36" s="4">
        <f>IF(B36="","",MAX($B$4:B36))</f>
        <v>106812.29</v>
      </c>
      <c r="D36" s="6">
        <f t="shared" ref="D36:D67" si="1">IF(OR(B36="",C36=0),"",B36/C36-1)</f>
        <v>-2.8765135547603959E-2</v>
      </c>
    </row>
    <row r="37" spans="1:4" x14ac:dyDescent="0.4">
      <c r="A37" s="7">
        <v>46071</v>
      </c>
      <c r="B37" s="3">
        <v>104239.56</v>
      </c>
      <c r="C37" s="4">
        <f>IF(B37="","",MAX($B$4:B37))</f>
        <v>106812.29</v>
      </c>
      <c r="D37" s="6">
        <f t="shared" si="1"/>
        <v>-2.4086460462555359E-2</v>
      </c>
    </row>
    <row r="38" spans="1:4" x14ac:dyDescent="0.4">
      <c r="A38" s="7">
        <v>46072</v>
      </c>
      <c r="B38" s="3">
        <v>104045.96</v>
      </c>
      <c r="C38" s="4">
        <f>IF(B38="","",MAX($B$4:B38))</f>
        <v>106812.29</v>
      </c>
      <c r="D38" s="6">
        <f t="shared" si="1"/>
        <v>-2.58989859687494E-2</v>
      </c>
    </row>
    <row r="39" spans="1:4" x14ac:dyDescent="0.4">
      <c r="A39" s="7">
        <v>46073</v>
      </c>
      <c r="B39" s="3">
        <v>104253.37</v>
      </c>
      <c r="C39" s="4">
        <f>IF(B39="","",MAX($B$4:B39))</f>
        <v>106812.29</v>
      </c>
      <c r="D39" s="6">
        <f t="shared" si="1"/>
        <v>-2.3957168224742698E-2</v>
      </c>
    </row>
    <row r="40" spans="1:4" x14ac:dyDescent="0.4">
      <c r="A40" s="7">
        <v>46074</v>
      </c>
      <c r="B40" s="3">
        <v>104252.37</v>
      </c>
      <c r="C40" s="4">
        <f>IF(B40="","",MAX($B$4:B40))</f>
        <v>106812.29</v>
      </c>
      <c r="D40" s="6">
        <f t="shared" si="1"/>
        <v>-2.3966530443266354E-2</v>
      </c>
    </row>
    <row r="41" spans="1:4" x14ac:dyDescent="0.4">
      <c r="A41" s="7">
        <v>46075</v>
      </c>
      <c r="B41" s="3">
        <v>104253.21</v>
      </c>
      <c r="C41" s="4">
        <f>IF(B41="","",MAX($B$4:B41))</f>
        <v>106812.29</v>
      </c>
      <c r="D41" s="6">
        <f t="shared" si="1"/>
        <v>-2.3958666179706323E-2</v>
      </c>
    </row>
    <row r="42" spans="1:4" x14ac:dyDescent="0.4">
      <c r="A42" s="7">
        <v>46076</v>
      </c>
      <c r="B42" s="3">
        <v>103746.07</v>
      </c>
      <c r="C42" s="4">
        <f>IF(B42="","",MAX($B$4:B42))</f>
        <v>106812.29</v>
      </c>
      <c r="D42" s="6">
        <f t="shared" si="1"/>
        <v>-2.8706621681830691E-2</v>
      </c>
    </row>
    <row r="43" spans="1:4" x14ac:dyDescent="0.4">
      <c r="A43" s="7">
        <v>46077</v>
      </c>
      <c r="B43" s="3">
        <v>104309.47</v>
      </c>
      <c r="C43" s="4">
        <f>IF(B43="","",MAX($B$4:B43))</f>
        <v>106812.29</v>
      </c>
      <c r="D43" s="6">
        <f t="shared" si="1"/>
        <v>-2.3431947765561345E-2</v>
      </c>
    </row>
    <row r="44" spans="1:4" x14ac:dyDescent="0.4">
      <c r="A44" s="7">
        <v>46078</v>
      </c>
      <c r="B44" s="3">
        <v>105001.14</v>
      </c>
      <c r="C44" s="4">
        <f>IF(B44="","",MAX($B$4:B44))</f>
        <v>106812.29</v>
      </c>
      <c r="D44" s="6">
        <f t="shared" si="1"/>
        <v>-1.6956382079253207E-2</v>
      </c>
    </row>
    <row r="45" spans="1:4" x14ac:dyDescent="0.4">
      <c r="A45" s="7">
        <v>46079</v>
      </c>
      <c r="B45" s="3">
        <v>104087.94</v>
      </c>
      <c r="C45" s="4">
        <f>IF(B45="","",MAX($B$4:B45))</f>
        <v>106812.29</v>
      </c>
      <c r="D45" s="6">
        <f t="shared" si="1"/>
        <v>-2.5505960035123176E-2</v>
      </c>
    </row>
    <row r="46" spans="1:4" x14ac:dyDescent="0.4">
      <c r="A46" s="7">
        <v>46080</v>
      </c>
      <c r="B46" s="3">
        <v>103677.52</v>
      </c>
      <c r="C46" s="4">
        <f>IF(B46="","",MAX($B$4:B46))</f>
        <v>106812.29</v>
      </c>
      <c r="D46" s="6">
        <f t="shared" si="1"/>
        <v>-2.9348401761632337E-2</v>
      </c>
    </row>
    <row r="47" spans="1:4" x14ac:dyDescent="0.4">
      <c r="A47" s="7">
        <v>46081</v>
      </c>
      <c r="B47" s="3">
        <v>103677.8</v>
      </c>
      <c r="C47" s="4">
        <f>IF(B47="","",MAX($B$4:B47))</f>
        <v>106812.29</v>
      </c>
      <c r="D47" s="6">
        <f t="shared" si="1"/>
        <v>-2.9345780340445771E-2</v>
      </c>
    </row>
    <row r="48" spans="1:4" x14ac:dyDescent="0.4">
      <c r="A48" s="7">
        <v>46082</v>
      </c>
      <c r="B48" s="3">
        <v>103678.01</v>
      </c>
      <c r="C48" s="4">
        <f>IF(B48="","",MAX($B$4:B48))</f>
        <v>106812.29</v>
      </c>
      <c r="D48" s="6">
        <f t="shared" si="1"/>
        <v>-2.9343814274555902E-2</v>
      </c>
    </row>
    <row r="49" spans="1:4" x14ac:dyDescent="0.4">
      <c r="A49" s="7">
        <v>46083</v>
      </c>
      <c r="B49" s="3">
        <v>103512.5</v>
      </c>
      <c r="C49" s="4">
        <f>IF(B49="","",MAX($B$4:B49))</f>
        <v>106812.29</v>
      </c>
      <c r="D49" s="6">
        <f t="shared" si="1"/>
        <v>-3.0893355062418304E-2</v>
      </c>
    </row>
    <row r="50" spans="1:4" x14ac:dyDescent="0.4">
      <c r="A50" s="7">
        <v>46084</v>
      </c>
      <c r="B50" s="3">
        <v>102110.39</v>
      </c>
      <c r="C50" s="4">
        <f>IF(B50="","",MAX($B$4:B50))</f>
        <v>106812.29</v>
      </c>
      <c r="D50" s="6">
        <f t="shared" si="1"/>
        <v>-4.4020215276725172E-2</v>
      </c>
    </row>
    <row r="51" spans="1:4" x14ac:dyDescent="0.4">
      <c r="A51" s="7">
        <v>46085</v>
      </c>
      <c r="B51" s="3">
        <v>102405.13</v>
      </c>
      <c r="C51" s="4">
        <f>IF(B51="","",MAX($B$4:B51))</f>
        <v>106812.29</v>
      </c>
      <c r="D51" s="6">
        <f t="shared" si="1"/>
        <v>-4.1260794989041005E-2</v>
      </c>
    </row>
    <row r="52" spans="1:4" x14ac:dyDescent="0.4">
      <c r="A52" s="7">
        <v>46086</v>
      </c>
      <c r="B52" s="3">
        <v>102399.4</v>
      </c>
      <c r="C52" s="4">
        <f>IF(B52="","",MAX($B$4:B52))</f>
        <v>106812.29</v>
      </c>
      <c r="D52" s="6">
        <f t="shared" si="1"/>
        <v>-4.1314440501182048E-2</v>
      </c>
    </row>
    <row r="53" spans="1:4" x14ac:dyDescent="0.4">
      <c r="A53" s="7">
        <v>46087</v>
      </c>
      <c r="B53" s="3">
        <v>101371.09</v>
      </c>
      <c r="C53" s="4">
        <f>IF(B53="","",MAX($B$4:B53))</f>
        <v>106812.29</v>
      </c>
      <c r="D53" s="6">
        <f t="shared" si="1"/>
        <v>-5.0941703431318652E-2</v>
      </c>
    </row>
    <row r="54" spans="1:4" x14ac:dyDescent="0.4">
      <c r="A54" s="7">
        <v>46088</v>
      </c>
      <c r="B54" s="3">
        <v>101371.16</v>
      </c>
      <c r="C54" s="4">
        <f>IF(B54="","",MAX($B$4:B54))</f>
        <v>106812.29</v>
      </c>
      <c r="D54" s="6">
        <f t="shared" si="1"/>
        <v>-5.0941048076021844E-2</v>
      </c>
    </row>
    <row r="55" spans="1:4" x14ac:dyDescent="0.4">
      <c r="A55" s="7">
        <v>46089</v>
      </c>
      <c r="B55" s="3">
        <v>101371.41</v>
      </c>
      <c r="C55" s="4">
        <f>IF(B55="","",MAX($B$4:B55))</f>
        <v>106812.29</v>
      </c>
      <c r="D55" s="6">
        <f t="shared" si="1"/>
        <v>-5.0938707521390958E-2</v>
      </c>
    </row>
    <row r="56" spans="1:4" x14ac:dyDescent="0.4">
      <c r="A56" s="7">
        <v>46090</v>
      </c>
      <c r="B56" s="3">
        <v>102416.16</v>
      </c>
      <c r="C56" s="4">
        <f>IF(B56="","",MAX($B$4:B56))</f>
        <v>106812.29</v>
      </c>
      <c r="D56" s="6">
        <f t="shared" si="1"/>
        <v>-4.1157529718724217E-2</v>
      </c>
    </row>
    <row r="57" spans="1:4" x14ac:dyDescent="0.4">
      <c r="A57" s="7">
        <v>46091</v>
      </c>
      <c r="B57" s="3">
        <v>102582.3</v>
      </c>
      <c r="C57" s="4">
        <f>IF(B57="","",MAX($B$4:B57))</f>
        <v>106812.29</v>
      </c>
      <c r="D57" s="6">
        <f t="shared" si="1"/>
        <v>-3.9602090733191764E-2</v>
      </c>
    </row>
    <row r="58" spans="1:4" x14ac:dyDescent="0.4">
      <c r="A58" s="7">
        <v>46092</v>
      </c>
      <c r="B58" s="3">
        <v>102818.33</v>
      </c>
      <c r="C58" s="4">
        <f>IF(B58="","",MAX($B$4:B58))</f>
        <v>106812.29</v>
      </c>
      <c r="D58" s="6">
        <f t="shared" si="1"/>
        <v>-3.739232629503586E-2</v>
      </c>
    </row>
    <row r="59" spans="1:4" x14ac:dyDescent="0.4">
      <c r="A59" s="7">
        <v>46093</v>
      </c>
      <c r="B59" s="3">
        <v>101768.43</v>
      </c>
      <c r="C59" s="4">
        <f>IF(B59="","",MAX($B$4:B59))</f>
        <v>106812.29</v>
      </c>
      <c r="D59" s="6">
        <f t="shared" si="1"/>
        <v>-4.7221719523099837E-2</v>
      </c>
    </row>
    <row r="60" spans="1:4" x14ac:dyDescent="0.4">
      <c r="A60" s="7">
        <v>46094</v>
      </c>
      <c r="B60" s="3">
        <v>101182.06</v>
      </c>
      <c r="C60" s="4">
        <f>IF(B60="","",MAX($B$4:B60))</f>
        <v>106812.29</v>
      </c>
      <c r="D60" s="6">
        <f t="shared" si="1"/>
        <v>-5.2711443598859264E-2</v>
      </c>
    </row>
    <row r="61" spans="1:4" x14ac:dyDescent="0.4">
      <c r="A61" s="7">
        <v>46095</v>
      </c>
      <c r="B61" s="3">
        <v>101180.19</v>
      </c>
      <c r="C61" s="4">
        <f>IF(B61="","",MAX($B$4:B61))</f>
        <v>106812.29</v>
      </c>
      <c r="D61" s="6">
        <f t="shared" si="1"/>
        <v>-5.2728950947498521E-2</v>
      </c>
    </row>
    <row r="62" spans="1:4" x14ac:dyDescent="0.4">
      <c r="A62" s="7">
        <v>46096</v>
      </c>
      <c r="B62" s="3">
        <v>101181.82</v>
      </c>
      <c r="C62" s="4">
        <f>IF(B62="","",MAX($B$4:B62))</f>
        <v>106812.29</v>
      </c>
      <c r="D62" s="6">
        <f t="shared" si="1"/>
        <v>-5.2713690531304813E-2</v>
      </c>
    </row>
    <row r="63" spans="1:4" x14ac:dyDescent="0.4">
      <c r="A63" s="7">
        <v>46097</v>
      </c>
      <c r="B63" s="3">
        <v>101930.55</v>
      </c>
      <c r="C63" s="4">
        <f>IF(B63="","",MAX($B$4:B63))</f>
        <v>106812.29</v>
      </c>
      <c r="D63" s="6">
        <f t="shared" si="1"/>
        <v>-4.5703916656032684E-2</v>
      </c>
    </row>
    <row r="64" spans="1:4" x14ac:dyDescent="0.4">
      <c r="A64" s="7">
        <v>46098</v>
      </c>
      <c r="B64" s="3">
        <v>102075.06</v>
      </c>
      <c r="C64" s="4">
        <f>IF(B64="","",MAX($B$4:B64))</f>
        <v>106812.29</v>
      </c>
      <c r="D64" s="6">
        <f t="shared" si="1"/>
        <v>-4.4350982457168509E-2</v>
      </c>
    </row>
    <row r="65" spans="1:4" x14ac:dyDescent="0.4">
      <c r="A65" s="7">
        <v>46099</v>
      </c>
      <c r="B65" s="3">
        <v>101176.79</v>
      </c>
      <c r="C65" s="4">
        <f>IF(B65="","",MAX($B$4:B65))</f>
        <v>106812.29</v>
      </c>
      <c r="D65" s="6">
        <f t="shared" si="1"/>
        <v>-5.276078249047933E-2</v>
      </c>
    </row>
    <row r="66" spans="1:4" x14ac:dyDescent="0.4">
      <c r="A66" s="7">
        <v>46100</v>
      </c>
      <c r="B66" s="3">
        <v>101543.43</v>
      </c>
      <c r="C66" s="4">
        <f>IF(B66="","",MAX($B$4:B66))</f>
        <v>106812.29</v>
      </c>
      <c r="D66" s="6">
        <f t="shared" si="1"/>
        <v>-4.9328218690939063E-2</v>
      </c>
    </row>
    <row r="67" spans="1:4" x14ac:dyDescent="0.4">
      <c r="A67" s="7">
        <v>46101</v>
      </c>
      <c r="B67" s="3">
        <v>100647.77</v>
      </c>
      <c r="C67" s="4">
        <f>IF(B67="","",MAX($B$4:B67))</f>
        <v>106812.29</v>
      </c>
      <c r="D67" s="6">
        <f t="shared" si="1"/>
        <v>-5.7713583333902752E-2</v>
      </c>
    </row>
    <row r="68" spans="1:4" x14ac:dyDescent="0.4">
      <c r="A68" s="7">
        <v>46102</v>
      </c>
      <c r="B68" s="3">
        <v>100646.11</v>
      </c>
      <c r="C68" s="4">
        <f>IF(B68="","",MAX($B$4:B68))</f>
        <v>106812.29</v>
      </c>
      <c r="D68" s="6">
        <f t="shared" ref="D68:D99" si="2">IF(OR(B68="",C68=0),"",B68/C68-1)</f>
        <v>-5.772912461665225E-2</v>
      </c>
    </row>
    <row r="69" spans="1:4" x14ac:dyDescent="0.4">
      <c r="A69" s="7">
        <v>46103</v>
      </c>
      <c r="B69" s="3">
        <v>100647.74</v>
      </c>
      <c r="C69" s="4">
        <f>IF(B69="","",MAX($B$4:B69))</f>
        <v>106812.29</v>
      </c>
      <c r="D69" s="6">
        <f t="shared" si="2"/>
        <v>-5.7713864200458431E-2</v>
      </c>
    </row>
    <row r="70" spans="1:4" x14ac:dyDescent="0.4">
      <c r="A70" s="7">
        <v>46104</v>
      </c>
      <c r="B70" s="3">
        <v>101628.25</v>
      </c>
      <c r="C70" s="4">
        <f>IF(B70="","",MAX($B$4:B70))</f>
        <v>106812.29</v>
      </c>
      <c r="D70" s="6">
        <f t="shared" si="2"/>
        <v>-4.8534115315756243E-2</v>
      </c>
    </row>
    <row r="71" spans="1:4" x14ac:dyDescent="0.4">
      <c r="A71" s="7">
        <v>46105</v>
      </c>
      <c r="B71" s="3">
        <v>101593.14</v>
      </c>
      <c r="C71" s="4">
        <f>IF(B71="","",MAX($B$4:B71))</f>
        <v>106812.29</v>
      </c>
      <c r="D71" s="6">
        <f t="shared" si="2"/>
        <v>-4.8862822808124373E-2</v>
      </c>
    </row>
    <row r="72" spans="1:4" x14ac:dyDescent="0.4">
      <c r="A72" s="7">
        <v>46106</v>
      </c>
      <c r="B72" s="3">
        <v>102013.63</v>
      </c>
      <c r="C72" s="4">
        <f>IF(B72="","",MAX($B$4:B72))</f>
        <v>106812.29</v>
      </c>
      <c r="D72" s="6">
        <f t="shared" si="2"/>
        <v>-4.4926103541081175E-2</v>
      </c>
    </row>
    <row r="73" spans="1:4" x14ac:dyDescent="0.4">
      <c r="A73" s="7">
        <v>46107</v>
      </c>
      <c r="B73" s="3">
        <v>100466.23</v>
      </c>
      <c r="C73" s="4">
        <f>IF(B73="","",MAX($B$4:B73))</f>
        <v>106812.29</v>
      </c>
      <c r="D73" s="6">
        <f t="shared" si="2"/>
        <v>-5.9413200484700779E-2</v>
      </c>
    </row>
    <row r="74" spans="1:4" x14ac:dyDescent="0.4">
      <c r="A74" s="7">
        <v>46108</v>
      </c>
      <c r="B74" s="3">
        <v>99281.14</v>
      </c>
      <c r="C74" s="4">
        <f>IF(B74="","",MAX($B$4:B74))</f>
        <v>106812.29</v>
      </c>
      <c r="D74" s="6">
        <f t="shared" si="2"/>
        <v>-7.0508272034987662E-2</v>
      </c>
    </row>
    <row r="75" spans="1:4" x14ac:dyDescent="0.4">
      <c r="A75" s="7">
        <v>46109</v>
      </c>
      <c r="B75" s="3">
        <v>99282.23</v>
      </c>
      <c r="C75" s="4">
        <f>IF(B75="","",MAX($B$4:B75))</f>
        <v>106812.29</v>
      </c>
      <c r="D75" s="6">
        <f t="shared" si="2"/>
        <v>-7.0498067216796856E-2</v>
      </c>
    </row>
    <row r="76" spans="1:4" x14ac:dyDescent="0.4">
      <c r="A76" s="7">
        <v>46110</v>
      </c>
      <c r="B76" s="3">
        <v>99281.11</v>
      </c>
      <c r="C76" s="4">
        <f>IF(B76="","",MAX($B$4:B76))</f>
        <v>106812.29</v>
      </c>
      <c r="D76" s="6">
        <f t="shared" si="2"/>
        <v>-7.0508552901543342E-2</v>
      </c>
    </row>
    <row r="77" spans="1:4" x14ac:dyDescent="0.4">
      <c r="A77" s="7">
        <v>46111</v>
      </c>
      <c r="B77" s="3">
        <v>98958.33</v>
      </c>
      <c r="C77" s="4">
        <f>IF(B77="","",MAX($B$4:B77))</f>
        <v>106812.29</v>
      </c>
      <c r="D77" s="6">
        <f t="shared" si="2"/>
        <v>-7.3530489796632903E-2</v>
      </c>
    </row>
    <row r="78" spans="1:4" x14ac:dyDescent="0.4">
      <c r="A78" s="7">
        <v>46112</v>
      </c>
      <c r="B78" s="3">
        <v>100927</v>
      </c>
      <c r="C78" s="4">
        <f>IF(B78="","",MAX($B$4:B78))</f>
        <v>106812.29</v>
      </c>
      <c r="D78" s="6">
        <f t="shared" si="2"/>
        <v>-5.5099371055521762E-2</v>
      </c>
    </row>
    <row r="79" spans="1:4" x14ac:dyDescent="0.4">
      <c r="A79" s="7">
        <v>46113</v>
      </c>
      <c r="B79" s="3">
        <v>101498.67</v>
      </c>
      <c r="C79" s="4">
        <f>IF(B79="","",MAX($B$4:B79))</f>
        <v>106812.29</v>
      </c>
      <c r="D79" s="6">
        <f t="shared" si="2"/>
        <v>-4.974727159206116E-2</v>
      </c>
    </row>
    <row r="80" spans="1:4" x14ac:dyDescent="0.4">
      <c r="A80" s="7">
        <v>46114</v>
      </c>
      <c r="B80" s="3">
        <v>101667.95</v>
      </c>
      <c r="C80" s="4">
        <f>IF(B80="","",MAX($B$4:B80))</f>
        <v>106812.29</v>
      </c>
      <c r="D80" s="6">
        <f t="shared" si="2"/>
        <v>-4.8162435240364121E-2</v>
      </c>
    </row>
    <row r="81" spans="1:4" x14ac:dyDescent="0.4">
      <c r="A81" s="7">
        <v>46115</v>
      </c>
      <c r="B81" s="3">
        <v>101668.1</v>
      </c>
      <c r="C81" s="4">
        <f>IF(B81="","",MAX($B$4:B81))</f>
        <v>106812.29</v>
      </c>
      <c r="D81" s="6">
        <f t="shared" si="2"/>
        <v>-4.81610309075855E-2</v>
      </c>
    </row>
    <row r="82" spans="1:4" x14ac:dyDescent="0.4">
      <c r="A82" s="7">
        <v>46116</v>
      </c>
      <c r="B82" s="3">
        <v>101667.99</v>
      </c>
      <c r="C82" s="4">
        <f>IF(B82="","",MAX($B$4:B82))</f>
        <v>106812.29</v>
      </c>
      <c r="D82" s="6">
        <f t="shared" si="2"/>
        <v>-4.8162060751623104E-2</v>
      </c>
    </row>
    <row r="83" spans="1:4" x14ac:dyDescent="0.4">
      <c r="A83" s="7">
        <v>46117</v>
      </c>
      <c r="B83" s="3">
        <v>101668.07</v>
      </c>
      <c r="C83" s="4">
        <f>IF(B83="","",MAX($B$4:B83))</f>
        <v>106812.29</v>
      </c>
      <c r="D83" s="6">
        <f t="shared" si="2"/>
        <v>-4.816131177414118E-2</v>
      </c>
    </row>
    <row r="84" spans="1:4" x14ac:dyDescent="0.4">
      <c r="A84" s="7">
        <v>46118</v>
      </c>
      <c r="B84" s="3">
        <v>102007.9</v>
      </c>
      <c r="C84" s="4">
        <f>IF(B84="","",MAX($B$4:B84))</f>
        <v>106812.29</v>
      </c>
      <c r="D84" s="6">
        <f t="shared" si="2"/>
        <v>-4.4979749053222218E-2</v>
      </c>
    </row>
    <row r="85" spans="1:4" x14ac:dyDescent="0.4">
      <c r="A85" s="7">
        <v>46119</v>
      </c>
      <c r="B85" s="3">
        <v>101935.83</v>
      </c>
      <c r="C85" s="4">
        <f>IF(B85="","",MAX($B$4:B85))</f>
        <v>106812.29</v>
      </c>
      <c r="D85" s="6">
        <f t="shared" si="2"/>
        <v>-4.5654484142227392E-2</v>
      </c>
    </row>
    <row r="86" spans="1:4" x14ac:dyDescent="0.4">
      <c r="A86" s="7">
        <v>46120</v>
      </c>
      <c r="B86" s="3">
        <v>103713.74</v>
      </c>
      <c r="C86" s="4">
        <f>IF(B86="","",MAX($B$4:B86))</f>
        <v>106812.29</v>
      </c>
      <c r="D86" s="6">
        <f t="shared" si="2"/>
        <v>-2.9009302206702836E-2</v>
      </c>
    </row>
    <row r="87" spans="1:4" x14ac:dyDescent="0.4">
      <c r="A87" s="7">
        <v>46121</v>
      </c>
      <c r="B87" s="3">
        <v>104314.66</v>
      </c>
      <c r="C87" s="4">
        <f>IF(B87="","",MAX($B$4:B87))</f>
        <v>106812.29</v>
      </c>
      <c r="D87" s="6">
        <f t="shared" si="2"/>
        <v>-2.3383357851423203E-2</v>
      </c>
    </row>
    <row r="88" spans="1:4" x14ac:dyDescent="0.4">
      <c r="A88" s="7">
        <v>46122</v>
      </c>
      <c r="B88" s="3">
        <v>104595.08</v>
      </c>
      <c r="C88" s="4">
        <f>IF(B88="","",MAX($B$4:B88))</f>
        <v>106812.29</v>
      </c>
      <c r="D88" s="6">
        <f t="shared" si="2"/>
        <v>-2.0758004532998919E-2</v>
      </c>
    </row>
    <row r="89" spans="1:4" x14ac:dyDescent="0.4">
      <c r="A89" s="7">
        <v>46123</v>
      </c>
      <c r="B89" s="3">
        <v>104594.96</v>
      </c>
      <c r="C89" s="4">
        <f>IF(B89="","",MAX($B$4:B89))</f>
        <v>106812.29</v>
      </c>
      <c r="D89" s="6">
        <f t="shared" si="2"/>
        <v>-2.0759127999221749E-2</v>
      </c>
    </row>
    <row r="90" spans="1:4" x14ac:dyDescent="0.4">
      <c r="A90" s="7">
        <v>46124</v>
      </c>
      <c r="B90" s="3">
        <v>104594.98</v>
      </c>
      <c r="C90" s="4">
        <f>IF(B90="","",MAX($B$4:B90))</f>
        <v>106812.29</v>
      </c>
      <c r="D90" s="6">
        <f t="shared" si="2"/>
        <v>-2.0758940754851296E-2</v>
      </c>
    </row>
    <row r="91" spans="1:4" x14ac:dyDescent="0.4">
      <c r="A91" s="7">
        <v>46125</v>
      </c>
      <c r="B91" s="3">
        <v>105312.3</v>
      </c>
      <c r="C91" s="4">
        <f>IF(B91="","",MAX($B$4:B91))</f>
        <v>106812.29</v>
      </c>
      <c r="D91" s="6">
        <f t="shared" si="2"/>
        <v>-1.4043234163409357E-2</v>
      </c>
    </row>
    <row r="92" spans="1:4" x14ac:dyDescent="0.4">
      <c r="A92" s="7">
        <v>46126</v>
      </c>
      <c r="B92" s="3">
        <v>106199.67999999999</v>
      </c>
      <c r="C92" s="4">
        <f>IF(B92="","",MAX($B$4:B92))</f>
        <v>106812.29</v>
      </c>
      <c r="D92" s="6">
        <f t="shared" si="2"/>
        <v>-5.7353886898221518E-3</v>
      </c>
    </row>
    <row r="93" spans="1:4" x14ac:dyDescent="0.4">
      <c r="A93" s="7">
        <v>46127</v>
      </c>
      <c r="B93" s="3">
        <v>106662.81</v>
      </c>
      <c r="C93" s="4">
        <f>IF(B93="","",MAX($B$4:B93))</f>
        <v>106812.29</v>
      </c>
      <c r="D93" s="6">
        <f t="shared" si="2"/>
        <v>-1.3994644249271104E-3</v>
      </c>
    </row>
    <row r="94" spans="1:4" x14ac:dyDescent="0.4">
      <c r="A94" s="7">
        <v>46128</v>
      </c>
      <c r="B94" s="3">
        <v>107608.62</v>
      </c>
      <c r="C94" s="4">
        <f>IF(B94="","",MAX($B$4:B94))</f>
        <v>107608.62</v>
      </c>
      <c r="D94" s="6">
        <f t="shared" si="2"/>
        <v>0</v>
      </c>
    </row>
    <row r="95" spans="1:4" x14ac:dyDescent="0.4">
      <c r="A95" s="7">
        <v>46129</v>
      </c>
      <c r="B95" s="3">
        <v>108221.2</v>
      </c>
      <c r="C95" s="4">
        <f>IF(B95="","",MAX($B$4:B95))</f>
        <v>108221.2</v>
      </c>
      <c r="D95" s="6">
        <f t="shared" si="2"/>
        <v>0</v>
      </c>
    </row>
    <row r="96" spans="1:4" x14ac:dyDescent="0.4">
      <c r="A96" s="7">
        <v>46130</v>
      </c>
      <c r="B96" s="3">
        <v>108215.24</v>
      </c>
      <c r="C96" s="4">
        <f>IF(B96="","",MAX($B$4:B96))</f>
        <v>108221.2</v>
      </c>
      <c r="D96" s="6">
        <f t="shared" si="2"/>
        <v>-5.5072388774002334E-5</v>
      </c>
    </row>
    <row r="97" spans="1:4" x14ac:dyDescent="0.4">
      <c r="A97" s="7">
        <v>46131</v>
      </c>
      <c r="B97" s="3">
        <v>108220.03</v>
      </c>
      <c r="C97" s="4">
        <f>IF(B97="","",MAX($B$4:B97))</f>
        <v>108221.2</v>
      </c>
      <c r="D97" s="6">
        <f t="shared" si="2"/>
        <v>-1.081119041368428E-5</v>
      </c>
    </row>
    <row r="98" spans="1:4" x14ac:dyDescent="0.4">
      <c r="A98" s="7">
        <v>46132</v>
      </c>
      <c r="B98" s="3">
        <v>111311.87</v>
      </c>
      <c r="C98" s="4">
        <f>IF(B98="","",MAX($B$4:B98))</f>
        <v>111311.87</v>
      </c>
      <c r="D98" s="6">
        <f t="shared" si="2"/>
        <v>0</v>
      </c>
    </row>
    <row r="99" spans="1:4" x14ac:dyDescent="0.4">
      <c r="A99" s="7">
        <v>46133</v>
      </c>
      <c r="B99" s="3">
        <v>110934.23</v>
      </c>
      <c r="C99" s="4">
        <f>IF(B99="","",MAX($B$4:B99))</f>
        <v>111311.87</v>
      </c>
      <c r="D99" s="6">
        <f t="shared" si="2"/>
        <v>-3.3926300941669041E-3</v>
      </c>
    </row>
    <row r="100" spans="1:4" x14ac:dyDescent="0.4">
      <c r="A100" s="7">
        <v>46134</v>
      </c>
      <c r="B100" s="3">
        <v>112145.88</v>
      </c>
      <c r="C100" s="4">
        <f>IF(B100="","",MAX($B$4:B100))</f>
        <v>112145.88</v>
      </c>
      <c r="D100" s="6">
        <f t="shared" ref="D100:D131" si="3">IF(OR(B100="",C100=0),"",B100/C100-1)</f>
        <v>0</v>
      </c>
    </row>
    <row r="101" spans="1:4" x14ac:dyDescent="0.4">
      <c r="A101" s="7">
        <v>46135</v>
      </c>
      <c r="B101" s="3">
        <v>111851.61</v>
      </c>
      <c r="C101" s="4">
        <f>IF(B101="","",MAX($B$4:B101))</f>
        <v>112145.88</v>
      </c>
      <c r="D101" s="6">
        <f t="shared" si="3"/>
        <v>-2.6239929634508385E-3</v>
      </c>
    </row>
    <row r="102" spans="1:4" x14ac:dyDescent="0.4">
      <c r="A102" s="7">
        <v>46136</v>
      </c>
      <c r="B102" s="3">
        <v>113111.59</v>
      </c>
      <c r="C102" s="4">
        <f>IF(B102="","",MAX($B$4:B102))</f>
        <v>113111.59</v>
      </c>
      <c r="D102" s="6">
        <f t="shared" si="3"/>
        <v>0</v>
      </c>
    </row>
    <row r="103" spans="1:4" x14ac:dyDescent="0.4">
      <c r="A103" s="7">
        <v>46137</v>
      </c>
      <c r="B103" s="3">
        <v>113111.5</v>
      </c>
      <c r="C103" s="4">
        <f>IF(B103="","",MAX($B$4:B103))</f>
        <v>113111.59</v>
      </c>
      <c r="D103" s="6">
        <f t="shared" si="3"/>
        <v>-7.9567443089789691E-7</v>
      </c>
    </row>
    <row r="104" spans="1:4" x14ac:dyDescent="0.4">
      <c r="A104" s="7">
        <v>46138</v>
      </c>
      <c r="B104" s="3">
        <v>113111.34</v>
      </c>
      <c r="C104" s="4">
        <f>IF(B104="","",MAX($B$4:B104))</f>
        <v>113111.59</v>
      </c>
      <c r="D104" s="6">
        <f t="shared" si="3"/>
        <v>-2.2102067525064939E-6</v>
      </c>
    </row>
    <row r="105" spans="1:4" x14ac:dyDescent="0.4">
      <c r="A105" s="7">
        <v>46139</v>
      </c>
      <c r="B105" s="3">
        <v>115629.12</v>
      </c>
      <c r="C105" s="4">
        <f>IF(B105="","",MAX($B$4:B105))</f>
        <v>115629.12</v>
      </c>
      <c r="D105" s="6">
        <f t="shared" si="3"/>
        <v>0</v>
      </c>
    </row>
    <row r="106" spans="1:4" x14ac:dyDescent="0.4">
      <c r="A106" s="7">
        <v>46140</v>
      </c>
      <c r="B106" s="3">
        <v>114230.13</v>
      </c>
      <c r="C106" s="4">
        <f>IF(B106="","",MAX($B$4:B106))</f>
        <v>115629.12</v>
      </c>
      <c r="D106" s="6">
        <f t="shared" si="3"/>
        <v>-1.2098941858244672E-2</v>
      </c>
    </row>
    <row r="107" spans="1:4" x14ac:dyDescent="0.4">
      <c r="A107" s="7">
        <v>46141</v>
      </c>
      <c r="B107" s="3">
        <v>114536.42</v>
      </c>
      <c r="C107" s="4">
        <f>IF(B107="","",MAX($B$4:B107))</f>
        <v>115629.12</v>
      </c>
      <c r="D107" s="6">
        <f t="shared" si="3"/>
        <v>-9.4500416504077478E-3</v>
      </c>
    </row>
    <row r="108" spans="1:4" x14ac:dyDescent="0.4">
      <c r="A108" s="7">
        <v>46142</v>
      </c>
      <c r="B108" s="3">
        <v>115225.15</v>
      </c>
      <c r="C108" s="4">
        <f>IF(B108="","",MAX($B$4:B108))</f>
        <v>115629.12</v>
      </c>
      <c r="D108" s="6">
        <f t="shared" si="3"/>
        <v>-3.4936701066305975E-3</v>
      </c>
    </row>
    <row r="109" spans="1:4" x14ac:dyDescent="0.4">
      <c r="A109" s="7">
        <v>46143</v>
      </c>
      <c r="B109" s="3">
        <v>115515.82</v>
      </c>
      <c r="C109" s="4">
        <f>IF(B109="","",MAX($B$4:B109))</f>
        <v>115629.12</v>
      </c>
      <c r="D109" s="6">
        <f t="shared" si="3"/>
        <v>-9.7985697720426312E-4</v>
      </c>
    </row>
    <row r="110" spans="1:4" x14ac:dyDescent="0.4">
      <c r="A110" s="7">
        <v>46144</v>
      </c>
      <c r="B110" s="3">
        <v>115514.89</v>
      </c>
      <c r="C110" s="4">
        <f>IF(B110="","",MAX($B$4:B110))</f>
        <v>115629.12</v>
      </c>
      <c r="D110" s="6">
        <f t="shared" si="3"/>
        <v>-9.8789993385750563E-4</v>
      </c>
    </row>
    <row r="111" spans="1:4" x14ac:dyDescent="0.4">
      <c r="A111" s="7">
        <v>46145</v>
      </c>
      <c r="B111" s="3">
        <v>115515.07</v>
      </c>
      <c r="C111" s="4">
        <f>IF(B111="","",MAX($B$4:B111))</f>
        <v>115629.12</v>
      </c>
      <c r="D111" s="6">
        <f t="shared" si="3"/>
        <v>-9.8634323256974188E-4</v>
      </c>
    </row>
    <row r="112" spans="1:4" x14ac:dyDescent="0.4">
      <c r="A112" s="7">
        <v>46146</v>
      </c>
      <c r="B112" s="3">
        <v>115211.38</v>
      </c>
      <c r="C112" s="4">
        <f>IF(B112="","",MAX($B$4:B112))</f>
        <v>115629.12</v>
      </c>
      <c r="D112" s="6">
        <f t="shared" si="3"/>
        <v>-3.612757755139806E-3</v>
      </c>
    </row>
    <row r="113" spans="1:4" x14ac:dyDescent="0.4">
      <c r="A113" s="7">
        <v>46147</v>
      </c>
      <c r="B113" s="3">
        <v>116266.17</v>
      </c>
      <c r="C113" s="4">
        <f>IF(B113="","",MAX($B$4:B113))</f>
        <v>116266.17</v>
      </c>
      <c r="D113" s="6">
        <f t="shared" si="3"/>
        <v>0</v>
      </c>
    </row>
    <row r="114" spans="1:4" x14ac:dyDescent="0.4">
      <c r="A114" s="7">
        <v>46148</v>
      </c>
      <c r="B114" s="3">
        <v>122502.18</v>
      </c>
      <c r="C114" s="4">
        <f>IF(B114="","",MAX($B$4:B114))</f>
        <v>122502.18</v>
      </c>
      <c r="D114" s="6">
        <f t="shared" si="3"/>
        <v>0</v>
      </c>
    </row>
    <row r="115" spans="1:4" x14ac:dyDescent="0.4">
      <c r="A115" s="7">
        <v>46149</v>
      </c>
      <c r="B115" s="3">
        <v>122047.56</v>
      </c>
      <c r="C115" s="4">
        <f>IF(B115="","",MAX($B$4:B115))</f>
        <v>122502.18</v>
      </c>
      <c r="D115" s="6">
        <f t="shared" si="3"/>
        <v>-3.7111176307229599E-3</v>
      </c>
    </row>
    <row r="116" spans="1:4" x14ac:dyDescent="0.4">
      <c r="A116" s="7">
        <v>46150</v>
      </c>
      <c r="B116" s="3">
        <v>123446.43</v>
      </c>
      <c r="C116" s="4">
        <f>IF(B116="","",MAX($B$4:B116))</f>
        <v>123446.43</v>
      </c>
      <c r="D116" s="6">
        <f t="shared" si="3"/>
        <v>0</v>
      </c>
    </row>
    <row r="117" spans="1:4" x14ac:dyDescent="0.4">
      <c r="A117" s="7">
        <v>46151</v>
      </c>
      <c r="B117" s="3">
        <v>123429.88</v>
      </c>
      <c r="C117" s="4">
        <f>IF(B117="","",MAX($B$4:B117))</f>
        <v>123446.43</v>
      </c>
      <c r="D117" s="6">
        <f t="shared" si="3"/>
        <v>-1.3406625043743681E-4</v>
      </c>
    </row>
    <row r="118" spans="1:4" x14ac:dyDescent="0.4">
      <c r="A118" s="7">
        <v>46152</v>
      </c>
      <c r="B118" s="3">
        <v>123413.28</v>
      </c>
      <c r="C118" s="4">
        <f>IF(B118="","",MAX($B$4:B118))</f>
        <v>123446.43</v>
      </c>
      <c r="D118" s="6">
        <f t="shared" si="3"/>
        <v>-2.6853753486422161E-4</v>
      </c>
    </row>
    <row r="119" spans="1:4" x14ac:dyDescent="0.4">
      <c r="A119" s="7">
        <v>46153</v>
      </c>
      <c r="B119" s="3">
        <v>123975.11</v>
      </c>
      <c r="C119" s="4">
        <f>IF(B119="","",MAX($B$4:B119))</f>
        <v>123975.11</v>
      </c>
      <c r="D119" s="6">
        <f t="shared" si="3"/>
        <v>0</v>
      </c>
    </row>
    <row r="120" spans="1:4" x14ac:dyDescent="0.4">
      <c r="A120" s="7">
        <v>46154</v>
      </c>
      <c r="B120" s="3">
        <v>127589.92</v>
      </c>
      <c r="C120" s="4">
        <f>IF(B120="","",MAX($B$4:B120))</f>
        <v>127589.92</v>
      </c>
      <c r="D120" s="6">
        <f t="shared" si="3"/>
        <v>0</v>
      </c>
    </row>
    <row r="121" spans="1:4" x14ac:dyDescent="0.4">
      <c r="A121" s="7">
        <v>46155</v>
      </c>
      <c r="B121" s="3">
        <v>128635.59</v>
      </c>
      <c r="C121" s="4">
        <f>IF(B121="","",MAX($B$4:B121))</f>
        <v>128635.59</v>
      </c>
      <c r="D121" s="6">
        <f t="shared" si="3"/>
        <v>0</v>
      </c>
    </row>
    <row r="122" spans="1:4" x14ac:dyDescent="0.4">
      <c r="A122" s="7">
        <v>46156</v>
      </c>
      <c r="B122" s="3">
        <v>129310.67</v>
      </c>
      <c r="C122" s="4">
        <f>IF(B122="","",MAX($B$4:B122))</f>
        <v>129310.67</v>
      </c>
      <c r="D122" s="6">
        <f t="shared" si="3"/>
        <v>0</v>
      </c>
    </row>
    <row r="123" spans="1:4" x14ac:dyDescent="0.4">
      <c r="A123" s="7">
        <v>46157</v>
      </c>
      <c r="B123" s="3">
        <v>127777.44</v>
      </c>
      <c r="C123" s="4">
        <f>IF(B123="","",MAX($B$4:B123))</f>
        <v>129310.67</v>
      </c>
      <c r="D123" s="6">
        <f t="shared" si="3"/>
        <v>-1.1856948850392568E-2</v>
      </c>
    </row>
    <row r="124" spans="1:4" x14ac:dyDescent="0.4">
      <c r="A124" s="7">
        <v>46158</v>
      </c>
      <c r="B124" s="3">
        <v>127757.52</v>
      </c>
      <c r="C124" s="4">
        <f>IF(B124="","",MAX($B$4:B124))</f>
        <v>129310.67</v>
      </c>
      <c r="D124" s="6">
        <f t="shared" si="3"/>
        <v>-1.2010996463014179E-2</v>
      </c>
    </row>
    <row r="125" spans="1:4" x14ac:dyDescent="0.4">
      <c r="A125" s="7">
        <v>46159</v>
      </c>
      <c r="B125" s="3">
        <v>127741.05</v>
      </c>
      <c r="C125" s="4">
        <f>IF(B125="","",MAX($B$4:B125))</f>
        <v>129310.67</v>
      </c>
      <c r="D125" s="6">
        <f t="shared" si="3"/>
        <v>-1.2138364142726954E-2</v>
      </c>
    </row>
    <row r="126" spans="1:4" x14ac:dyDescent="0.4">
      <c r="A126" s="7">
        <v>46160</v>
      </c>
      <c r="B126" s="3">
        <v>127311.69</v>
      </c>
      <c r="C126" s="4">
        <f>IF(B126="","",MAX($B$4:B126))</f>
        <v>129310.67</v>
      </c>
      <c r="D126" s="6">
        <f t="shared" si="3"/>
        <v>-1.5458739793088982E-2</v>
      </c>
    </row>
    <row r="127" spans="1:4" x14ac:dyDescent="0.4">
      <c r="A127" s="7">
        <v>46161</v>
      </c>
      <c r="B127" s="3">
        <v>126398.18</v>
      </c>
      <c r="C127" s="4">
        <f>IF(B127="","",MAX($B$4:B127))</f>
        <v>129310.67</v>
      </c>
      <c r="D127" s="6">
        <f t="shared" si="3"/>
        <v>-2.2523199361661361E-2</v>
      </c>
    </row>
    <row r="128" spans="1:4" x14ac:dyDescent="0.4">
      <c r="A128" s="7">
        <v>46162</v>
      </c>
      <c r="B128" s="3">
        <v>127612.84</v>
      </c>
      <c r="C128" s="4">
        <f>IF(B128="","",MAX($B$4:B128))</f>
        <v>129310.67</v>
      </c>
      <c r="D128" s="6">
        <f t="shared" si="3"/>
        <v>-1.3129852316131396E-2</v>
      </c>
    </row>
    <row r="129" spans="1:4" x14ac:dyDescent="0.4">
      <c r="A129" s="7">
        <v>46163</v>
      </c>
      <c r="B129" s="3">
        <v>127810.11</v>
      </c>
      <c r="C129" s="4">
        <f>IF(B129="","",MAX($B$4:B129))</f>
        <v>129310.67</v>
      </c>
      <c r="D129" s="6">
        <f t="shared" si="3"/>
        <v>-1.1604301485716562E-2</v>
      </c>
    </row>
    <row r="130" spans="1:4" x14ac:dyDescent="0.4">
      <c r="A130" s="7">
        <v>46164</v>
      </c>
      <c r="B130" s="3">
        <v>128423.91</v>
      </c>
      <c r="C130" s="4">
        <f>IF(B130="","",MAX($B$4:B130))</f>
        <v>129310.67</v>
      </c>
      <c r="D130" s="6">
        <f t="shared" si="3"/>
        <v>-6.8575934221050128E-3</v>
      </c>
    </row>
    <row r="131" spans="1:4" x14ac:dyDescent="0.4">
      <c r="A131" s="7">
        <v>46165</v>
      </c>
      <c r="B131" s="3">
        <v>128423.5</v>
      </c>
      <c r="C131" s="4">
        <f>IF(B131="","",MAX($B$4:B131))</f>
        <v>129310.67</v>
      </c>
      <c r="D131" s="6">
        <f t="shared" si="3"/>
        <v>-6.8607640807986092E-3</v>
      </c>
    </row>
    <row r="132" spans="1:4" x14ac:dyDescent="0.4">
      <c r="A132" s="7">
        <v>46166</v>
      </c>
      <c r="B132" s="3">
        <v>128423.55</v>
      </c>
      <c r="C132" s="4">
        <f>IF(B132="","",MAX($B$4:B132))</f>
        <v>129310.67</v>
      </c>
      <c r="D132" s="6">
        <f t="shared" ref="D132:D163" si="4">IF(OR(B132="",C132=0),"",B132/C132-1)</f>
        <v>-6.8603774151042574E-3</v>
      </c>
    </row>
    <row r="133" spans="1:4" x14ac:dyDescent="0.4">
      <c r="A133" s="7">
        <v>46167</v>
      </c>
      <c r="B133" s="3">
        <v>128424.31</v>
      </c>
      <c r="C133" s="4">
        <f>IF(B133="","",MAX($B$4:B133))</f>
        <v>129310.67</v>
      </c>
      <c r="D133" s="6">
        <f t="shared" si="4"/>
        <v>-6.8545000965504199E-3</v>
      </c>
    </row>
    <row r="134" spans="1:4" x14ac:dyDescent="0.4">
      <c r="A134" s="7">
        <v>46168</v>
      </c>
      <c r="B134" s="3">
        <v>130096.83</v>
      </c>
      <c r="C134" s="4">
        <f>IF(B134="","",MAX($B$4:B134))</f>
        <v>130096.83</v>
      </c>
      <c r="D134" s="6">
        <f t="shared" si="4"/>
        <v>0</v>
      </c>
    </row>
    <row r="135" spans="1:4" x14ac:dyDescent="0.4">
      <c r="A135" s="7">
        <v>46169</v>
      </c>
      <c r="B135" s="3">
        <v>129993.27</v>
      </c>
      <c r="C135" s="4">
        <f>IF(B135="","",MAX($B$4:B135))</f>
        <v>130096.83</v>
      </c>
      <c r="D135" s="6">
        <f t="shared" si="4"/>
        <v>-7.96022470339941E-4</v>
      </c>
    </row>
    <row r="136" spans="1:4" x14ac:dyDescent="0.4">
      <c r="A136" s="7">
        <v>46170</v>
      </c>
      <c r="B136" s="3">
        <v>130549.96</v>
      </c>
      <c r="C136" s="4">
        <f>IF(B136="","",MAX($B$4:B136))</f>
        <v>130549.96</v>
      </c>
      <c r="D136" s="6">
        <f t="shared" si="4"/>
        <v>0</v>
      </c>
    </row>
    <row r="137" spans="1:4" x14ac:dyDescent="0.4">
      <c r="A137" s="7">
        <v>46171</v>
      </c>
      <c r="B137" s="3">
        <v>130617.58</v>
      </c>
      <c r="C137" s="4">
        <f>IF(B137="","",MAX($B$4:B137))</f>
        <v>130617.58</v>
      </c>
      <c r="D137" s="6">
        <f t="shared" si="4"/>
        <v>0</v>
      </c>
    </row>
    <row r="138" spans="1:4" x14ac:dyDescent="0.4">
      <c r="A138" s="7">
        <v>46172</v>
      </c>
      <c r="B138" s="3">
        <v>130600.34</v>
      </c>
      <c r="C138" s="4">
        <f>IF(B138="","",MAX($B$4:B138))</f>
        <v>130617.58</v>
      </c>
      <c r="D138" s="6">
        <f t="shared" si="4"/>
        <v>-1.3198835868810654E-4</v>
      </c>
    </row>
    <row r="139" spans="1:4" x14ac:dyDescent="0.4">
      <c r="A139" s="7">
        <v>46173</v>
      </c>
      <c r="B139" s="3">
        <v>130583.13</v>
      </c>
      <c r="C139" s="4">
        <f>IF(B139="","",MAX($B$4:B139))</f>
        <v>130617.58</v>
      </c>
      <c r="D139" s="6">
        <f t="shared" si="4"/>
        <v>-2.6374703925768905E-4</v>
      </c>
    </row>
    <row r="140" spans="1:4" x14ac:dyDescent="0.4">
      <c r="A140" s="7">
        <v>46174</v>
      </c>
      <c r="B140" s="3">
        <v>131122.59</v>
      </c>
      <c r="C140" s="4">
        <f>IF(B140="","",MAX($B$4:B140))</f>
        <v>131122.59</v>
      </c>
      <c r="D140" s="6">
        <f t="shared" si="4"/>
        <v>0</v>
      </c>
    </row>
    <row r="141" spans="1:4" x14ac:dyDescent="0.4">
      <c r="A141" s="7">
        <v>46175</v>
      </c>
      <c r="B141" s="3">
        <v>132918.97</v>
      </c>
      <c r="C141" s="4">
        <f>IF(B141="","",MAX($B$4:B141))</f>
        <v>132918.97</v>
      </c>
      <c r="D141" s="6">
        <f t="shared" si="4"/>
        <v>0</v>
      </c>
    </row>
    <row r="142" spans="1:4" x14ac:dyDescent="0.4">
      <c r="A142" s="7">
        <v>46176</v>
      </c>
      <c r="B142" s="3">
        <v>132133.60999999999</v>
      </c>
      <c r="C142" s="4">
        <f>IF(B142="","",MAX($B$4:B142))</f>
        <v>132918.97</v>
      </c>
      <c r="D142" s="6">
        <f t="shared" si="4"/>
        <v>-5.9085621864208848E-3</v>
      </c>
    </row>
    <row r="143" spans="1:4" x14ac:dyDescent="0.4">
      <c r="A143" s="7">
        <v>46177</v>
      </c>
      <c r="B143" s="3">
        <v>132029.54999999999</v>
      </c>
      <c r="C143" s="4">
        <f>IF(B143="","",MAX($B$4:B143))</f>
        <v>132918.97</v>
      </c>
      <c r="D143" s="6">
        <f t="shared" si="4"/>
        <v>-6.691445171445487E-3</v>
      </c>
    </row>
    <row r="144" spans="1:4" x14ac:dyDescent="0.4">
      <c r="A144" s="7">
        <v>46178</v>
      </c>
      <c r="B144" s="3">
        <v>127377.27</v>
      </c>
      <c r="C144" s="4">
        <f>IF(B144="","",MAX($B$4:B144))</f>
        <v>132918.97</v>
      </c>
      <c r="D144" s="6">
        <f t="shared" si="4"/>
        <v>-4.1692318259763828E-2</v>
      </c>
    </row>
    <row r="145" spans="1:4" x14ac:dyDescent="0.4">
      <c r="A145" s="7">
        <v>46179</v>
      </c>
      <c r="B145" s="3">
        <v>127377.24</v>
      </c>
      <c r="C145" s="4">
        <f>IF(B145="","",MAX($B$4:B145))</f>
        <v>132918.97</v>
      </c>
      <c r="D145" s="6">
        <f t="shared" si="4"/>
        <v>-4.1692543961181716E-2</v>
      </c>
    </row>
    <row r="146" spans="1:4" x14ac:dyDescent="0.4">
      <c r="A146" s="7">
        <v>46180</v>
      </c>
      <c r="B146" s="3">
        <v>127377.21</v>
      </c>
      <c r="C146" s="4">
        <f>IF(B146="","",MAX($B$4:B146))</f>
        <v>132918.97</v>
      </c>
      <c r="D146" s="6">
        <f t="shared" si="4"/>
        <v>-4.1692769662599716E-2</v>
      </c>
    </row>
    <row r="147" spans="1:4" x14ac:dyDescent="0.4">
      <c r="A147" s="7">
        <v>46181</v>
      </c>
      <c r="B147" s="3">
        <v>129016.84</v>
      </c>
      <c r="C147" s="4">
        <f>IF(B147="","",MAX($B$4:B147))</f>
        <v>132918.97</v>
      </c>
      <c r="D147" s="6">
        <f t="shared" si="4"/>
        <v>-2.9357209132752082E-2</v>
      </c>
    </row>
    <row r="148" spans="1:4" x14ac:dyDescent="0.4">
      <c r="A148" s="7">
        <v>46182</v>
      </c>
      <c r="B148" s="3">
        <v>128634.53</v>
      </c>
      <c r="C148" s="4">
        <f>IF(B148="","",MAX($B$4:B148))</f>
        <v>132918.97</v>
      </c>
      <c r="D148" s="6">
        <f t="shared" si="4"/>
        <v>-3.2233472769161553E-2</v>
      </c>
    </row>
    <row r="149" spans="1:4" x14ac:dyDescent="0.4">
      <c r="A149" s="7">
        <v>46183</v>
      </c>
      <c r="B149" s="3">
        <v>127437.96</v>
      </c>
      <c r="C149" s="4">
        <f>IF(B149="","",MAX($B$4:B149))</f>
        <v>132918.97</v>
      </c>
      <c r="D149" s="6">
        <f t="shared" si="4"/>
        <v>-4.123572429127309E-2</v>
      </c>
    </row>
    <row r="150" spans="1:4" x14ac:dyDescent="0.4">
      <c r="A150" s="7">
        <v>46184</v>
      </c>
      <c r="B150" s="3">
        <v>129114.55</v>
      </c>
      <c r="C150" s="4">
        <f>IF(B150="","",MAX($B$4:B150))</f>
        <v>132918.97</v>
      </c>
      <c r="D150" s="6">
        <f t="shared" si="4"/>
        <v>-2.8622099614524554E-2</v>
      </c>
    </row>
    <row r="151" spans="1:4" x14ac:dyDescent="0.4">
      <c r="A151" s="7">
        <v>46185</v>
      </c>
      <c r="B151" s="3">
        <v>129502.83</v>
      </c>
      <c r="C151" s="4">
        <f>IF(B151="","",MAX($B$4:B151))</f>
        <v>132918.97</v>
      </c>
      <c r="D151" s="6">
        <f t="shared" si="4"/>
        <v>-2.5700921395945264E-2</v>
      </c>
    </row>
    <row r="152" spans="1:4" x14ac:dyDescent="0.4">
      <c r="A152" s="7">
        <v>46186</v>
      </c>
      <c r="B152" s="3">
        <v>129485.19</v>
      </c>
      <c r="C152" s="4">
        <f>IF(B152="","",MAX($B$4:B152))</f>
        <v>132918.97</v>
      </c>
      <c r="D152" s="6">
        <f t="shared" si="4"/>
        <v>-2.5833633829693392E-2</v>
      </c>
    </row>
    <row r="153" spans="1:4" x14ac:dyDescent="0.4">
      <c r="A153" s="7">
        <v>46187</v>
      </c>
      <c r="B153" s="3">
        <v>129467.72</v>
      </c>
      <c r="C153" s="4">
        <f>IF(B153="","",MAX($B$4:B153))</f>
        <v>132918.97</v>
      </c>
      <c r="D153" s="6">
        <f t="shared" si="4"/>
        <v>-2.5965067288739929E-2</v>
      </c>
    </row>
    <row r="154" spans="1:4" x14ac:dyDescent="0.4">
      <c r="A154" s="7">
        <v>46188</v>
      </c>
      <c r="B154" s="3">
        <v>130951.56</v>
      </c>
      <c r="C154" s="4">
        <f>IF(B154="","",MAX($B$4:B154))</f>
        <v>132918.97</v>
      </c>
      <c r="D154" s="6">
        <f t="shared" si="4"/>
        <v>-1.4801574222249814E-2</v>
      </c>
    </row>
    <row r="155" spans="1:4" x14ac:dyDescent="0.4">
      <c r="A155" s="7">
        <v>46189</v>
      </c>
      <c r="B155" s="3">
        <v>130888.19</v>
      </c>
      <c r="C155" s="4">
        <f>IF(B155="","",MAX($B$4:B155))</f>
        <v>132918.97</v>
      </c>
      <c r="D155" s="6">
        <f t="shared" si="4"/>
        <v>-1.5278330850743149E-2</v>
      </c>
    </row>
    <row r="156" spans="1:4" x14ac:dyDescent="0.4">
      <c r="A156" s="7">
        <v>46190</v>
      </c>
      <c r="B156" s="3"/>
      <c r="C156" s="4" t="str">
        <f>IF(B156="","",MAX($B$4:B156))</f>
        <v/>
      </c>
      <c r="D156" s="6" t="str">
        <f t="shared" si="4"/>
        <v/>
      </c>
    </row>
    <row r="157" spans="1:4" x14ac:dyDescent="0.4">
      <c r="A157" s="7">
        <v>46191</v>
      </c>
      <c r="B157" s="3"/>
      <c r="C157" s="4" t="str">
        <f>IF(B157="","",MAX($B$4:B157))</f>
        <v/>
      </c>
      <c r="D157" s="6" t="str">
        <f t="shared" si="4"/>
        <v/>
      </c>
    </row>
    <row r="158" spans="1:4" x14ac:dyDescent="0.4">
      <c r="A158" s="7">
        <v>46192</v>
      </c>
      <c r="B158" s="3"/>
      <c r="C158" s="4" t="str">
        <f>IF(B158="","",MAX($B$4:B158))</f>
        <v/>
      </c>
      <c r="D158" s="6" t="str">
        <f t="shared" si="4"/>
        <v/>
      </c>
    </row>
    <row r="159" spans="1:4" x14ac:dyDescent="0.4">
      <c r="A159" s="7">
        <v>46193</v>
      </c>
      <c r="B159" s="3"/>
      <c r="C159" s="4" t="str">
        <f>IF(B159="","",MAX($B$4:B159))</f>
        <v/>
      </c>
      <c r="D159" s="6" t="str">
        <f t="shared" si="4"/>
        <v/>
      </c>
    </row>
    <row r="160" spans="1:4" x14ac:dyDescent="0.4">
      <c r="A160" s="7">
        <v>46194</v>
      </c>
      <c r="B160" s="3"/>
      <c r="C160" s="4" t="str">
        <f>IF(B160="","",MAX($B$4:B160))</f>
        <v/>
      </c>
      <c r="D160" s="6" t="str">
        <f t="shared" si="4"/>
        <v/>
      </c>
    </row>
    <row r="161" spans="1:4" x14ac:dyDescent="0.4">
      <c r="A161" s="7">
        <v>46195</v>
      </c>
      <c r="B161" s="3"/>
      <c r="C161" s="4" t="str">
        <f>IF(B161="","",MAX($B$4:B161))</f>
        <v/>
      </c>
      <c r="D161" s="6" t="str">
        <f t="shared" si="4"/>
        <v/>
      </c>
    </row>
    <row r="162" spans="1:4" x14ac:dyDescent="0.4">
      <c r="A162" s="7">
        <v>46196</v>
      </c>
      <c r="B162" s="3"/>
      <c r="C162" s="4" t="str">
        <f>IF(B162="","",MAX($B$4:B162))</f>
        <v/>
      </c>
      <c r="D162" s="6" t="str">
        <f t="shared" si="4"/>
        <v/>
      </c>
    </row>
    <row r="163" spans="1:4" x14ac:dyDescent="0.4">
      <c r="A163" s="7">
        <v>46197</v>
      </c>
      <c r="B163" s="3"/>
      <c r="C163" s="4" t="str">
        <f>IF(B163="","",MAX($B$4:B163))</f>
        <v/>
      </c>
      <c r="D163" s="6" t="str">
        <f t="shared" si="4"/>
        <v/>
      </c>
    </row>
    <row r="164" spans="1:4" x14ac:dyDescent="0.4">
      <c r="A164" s="7">
        <v>46198</v>
      </c>
      <c r="B164" s="3"/>
      <c r="C164" s="4" t="str">
        <f>IF(B164="","",MAX($B$4:B164))</f>
        <v/>
      </c>
      <c r="D164" s="6" t="str">
        <f t="shared" ref="D164:D195" si="5">IF(OR(B164="",C164=0),"",B164/C164-1)</f>
        <v/>
      </c>
    </row>
    <row r="165" spans="1:4" x14ac:dyDescent="0.4">
      <c r="A165" s="7">
        <v>46199</v>
      </c>
      <c r="B165" s="3"/>
      <c r="C165" s="4" t="str">
        <f>IF(B165="","",MAX($B$4:B165))</f>
        <v/>
      </c>
      <c r="D165" s="6" t="str">
        <f t="shared" si="5"/>
        <v/>
      </c>
    </row>
    <row r="166" spans="1:4" x14ac:dyDescent="0.4">
      <c r="A166" s="7">
        <v>46200</v>
      </c>
      <c r="B166" s="3"/>
      <c r="C166" s="4" t="str">
        <f>IF(B166="","",MAX($B$4:B166))</f>
        <v/>
      </c>
      <c r="D166" s="6" t="str">
        <f t="shared" si="5"/>
        <v/>
      </c>
    </row>
    <row r="167" spans="1:4" x14ac:dyDescent="0.4">
      <c r="A167" s="7">
        <v>46201</v>
      </c>
      <c r="B167" s="3"/>
      <c r="C167" s="4" t="str">
        <f>IF(B167="","",MAX($B$4:B167))</f>
        <v/>
      </c>
      <c r="D167" s="6" t="str">
        <f t="shared" si="5"/>
        <v/>
      </c>
    </row>
    <row r="168" spans="1:4" x14ac:dyDescent="0.4">
      <c r="A168" s="7">
        <v>46202</v>
      </c>
      <c r="B168" s="3"/>
      <c r="C168" s="4" t="str">
        <f>IF(B168="","",MAX($B$4:B168))</f>
        <v/>
      </c>
      <c r="D168" s="6" t="str">
        <f t="shared" si="5"/>
        <v/>
      </c>
    </row>
    <row r="169" spans="1:4" x14ac:dyDescent="0.4">
      <c r="A169" s="7">
        <v>46203</v>
      </c>
      <c r="B169" s="3"/>
      <c r="C169" s="4" t="str">
        <f>IF(B169="","",MAX($B$4:B169))</f>
        <v/>
      </c>
      <c r="D169" s="6" t="str">
        <f t="shared" si="5"/>
        <v/>
      </c>
    </row>
    <row r="170" spans="1:4" x14ac:dyDescent="0.4">
      <c r="A170" s="7">
        <v>46204</v>
      </c>
      <c r="B170" s="3"/>
      <c r="C170" s="4" t="str">
        <f>IF(B170="","",MAX($B$4:B170))</f>
        <v/>
      </c>
      <c r="D170" s="6" t="str">
        <f t="shared" si="5"/>
        <v/>
      </c>
    </row>
    <row r="171" spans="1:4" x14ac:dyDescent="0.4">
      <c r="A171" s="7">
        <v>46205</v>
      </c>
      <c r="B171" s="3"/>
      <c r="C171" s="4" t="str">
        <f>IF(B171="","",MAX($B$4:B171))</f>
        <v/>
      </c>
      <c r="D171" s="6" t="str">
        <f t="shared" si="5"/>
        <v/>
      </c>
    </row>
    <row r="172" spans="1:4" x14ac:dyDescent="0.4">
      <c r="A172" s="7">
        <v>46206</v>
      </c>
      <c r="B172" s="3"/>
      <c r="C172" s="4" t="str">
        <f>IF(B172="","",MAX($B$4:B172))</f>
        <v/>
      </c>
      <c r="D172" s="6" t="str">
        <f t="shared" si="5"/>
        <v/>
      </c>
    </row>
    <row r="173" spans="1:4" x14ac:dyDescent="0.4">
      <c r="A173" s="7">
        <v>46207</v>
      </c>
      <c r="B173" s="3"/>
      <c r="C173" s="4" t="str">
        <f>IF(B173="","",MAX($B$4:B173))</f>
        <v/>
      </c>
      <c r="D173" s="6" t="str">
        <f t="shared" si="5"/>
        <v/>
      </c>
    </row>
    <row r="174" spans="1:4" x14ac:dyDescent="0.4">
      <c r="A174" s="7">
        <v>46208</v>
      </c>
      <c r="B174" s="3"/>
      <c r="C174" s="4" t="str">
        <f>IF(B174="","",MAX($B$4:B174))</f>
        <v/>
      </c>
      <c r="D174" s="6" t="str">
        <f t="shared" si="5"/>
        <v/>
      </c>
    </row>
    <row r="175" spans="1:4" x14ac:dyDescent="0.4">
      <c r="A175" s="7">
        <v>46209</v>
      </c>
      <c r="B175" s="3"/>
      <c r="C175" s="4" t="str">
        <f>IF(B175="","",MAX($B$4:B175))</f>
        <v/>
      </c>
      <c r="D175" s="6" t="str">
        <f t="shared" si="5"/>
        <v/>
      </c>
    </row>
    <row r="176" spans="1:4" x14ac:dyDescent="0.4">
      <c r="A176" s="7">
        <v>46210</v>
      </c>
      <c r="B176" s="3"/>
      <c r="C176" s="4" t="str">
        <f>IF(B176="","",MAX($B$4:B176))</f>
        <v/>
      </c>
      <c r="D176" s="6" t="str">
        <f t="shared" si="5"/>
        <v/>
      </c>
    </row>
    <row r="177" spans="1:4" x14ac:dyDescent="0.4">
      <c r="A177" s="7">
        <v>46211</v>
      </c>
      <c r="B177" s="3"/>
      <c r="C177" s="4" t="str">
        <f>IF(B177="","",MAX($B$4:B177))</f>
        <v/>
      </c>
      <c r="D177" s="6" t="str">
        <f t="shared" si="5"/>
        <v/>
      </c>
    </row>
    <row r="178" spans="1:4" x14ac:dyDescent="0.4">
      <c r="A178" s="7">
        <v>46212</v>
      </c>
      <c r="B178" s="3"/>
      <c r="C178" s="4" t="str">
        <f>IF(B178="","",MAX($B$4:B178))</f>
        <v/>
      </c>
      <c r="D178" s="6" t="str">
        <f t="shared" si="5"/>
        <v/>
      </c>
    </row>
    <row r="179" spans="1:4" x14ac:dyDescent="0.4">
      <c r="A179" s="7">
        <v>46213</v>
      </c>
      <c r="B179" s="3"/>
      <c r="C179" s="4" t="str">
        <f>IF(B179="","",MAX($B$4:B179))</f>
        <v/>
      </c>
      <c r="D179" s="6" t="str">
        <f t="shared" si="5"/>
        <v/>
      </c>
    </row>
    <row r="180" spans="1:4" x14ac:dyDescent="0.4">
      <c r="A180" s="7">
        <v>46214</v>
      </c>
      <c r="B180" s="3"/>
      <c r="C180" s="4" t="str">
        <f>IF(B180="","",MAX($B$4:B180))</f>
        <v/>
      </c>
      <c r="D180" s="6" t="str">
        <f t="shared" si="5"/>
        <v/>
      </c>
    </row>
    <row r="181" spans="1:4" x14ac:dyDescent="0.4">
      <c r="A181" s="7">
        <v>46215</v>
      </c>
      <c r="B181" s="3"/>
      <c r="C181" s="4" t="str">
        <f>IF(B181="","",MAX($B$4:B181))</f>
        <v/>
      </c>
      <c r="D181" s="6" t="str">
        <f t="shared" si="5"/>
        <v/>
      </c>
    </row>
    <row r="182" spans="1:4" x14ac:dyDescent="0.4">
      <c r="A182" s="7">
        <v>46216</v>
      </c>
      <c r="B182" s="3"/>
      <c r="C182" s="4" t="str">
        <f>IF(B182="","",MAX($B$4:B182))</f>
        <v/>
      </c>
      <c r="D182" s="6" t="str">
        <f t="shared" si="5"/>
        <v/>
      </c>
    </row>
    <row r="183" spans="1:4" x14ac:dyDescent="0.4">
      <c r="A183" s="7">
        <v>46217</v>
      </c>
      <c r="B183" s="3"/>
      <c r="C183" s="4" t="str">
        <f>IF(B183="","",MAX($B$4:B183))</f>
        <v/>
      </c>
      <c r="D183" s="6" t="str">
        <f t="shared" si="5"/>
        <v/>
      </c>
    </row>
    <row r="184" spans="1:4" x14ac:dyDescent="0.4">
      <c r="A184" s="7">
        <v>46218</v>
      </c>
      <c r="B184" s="3"/>
      <c r="C184" s="4" t="str">
        <f>IF(B184="","",MAX($B$4:B184))</f>
        <v/>
      </c>
      <c r="D184" s="6" t="str">
        <f t="shared" si="5"/>
        <v/>
      </c>
    </row>
    <row r="185" spans="1:4" x14ac:dyDescent="0.4">
      <c r="A185" s="7">
        <v>46219</v>
      </c>
      <c r="B185" s="3"/>
      <c r="C185" s="4" t="str">
        <f>IF(B185="","",MAX($B$4:B185))</f>
        <v/>
      </c>
      <c r="D185" s="6" t="str">
        <f t="shared" si="5"/>
        <v/>
      </c>
    </row>
    <row r="186" spans="1:4" x14ac:dyDescent="0.4">
      <c r="A186" s="7">
        <v>46220</v>
      </c>
      <c r="B186" s="3"/>
      <c r="C186" s="4" t="str">
        <f>IF(B186="","",MAX($B$4:B186))</f>
        <v/>
      </c>
      <c r="D186" s="6" t="str">
        <f t="shared" si="5"/>
        <v/>
      </c>
    </row>
    <row r="187" spans="1:4" x14ac:dyDescent="0.4">
      <c r="A187" s="7">
        <v>46221</v>
      </c>
      <c r="B187" s="3"/>
      <c r="C187" s="4" t="str">
        <f>IF(B187="","",MAX($B$4:B187))</f>
        <v/>
      </c>
      <c r="D187" s="6" t="str">
        <f t="shared" si="5"/>
        <v/>
      </c>
    </row>
    <row r="188" spans="1:4" x14ac:dyDescent="0.4">
      <c r="A188" s="7">
        <v>46222</v>
      </c>
      <c r="B188" s="3"/>
      <c r="C188" s="4" t="str">
        <f>IF(B188="","",MAX($B$4:B188))</f>
        <v/>
      </c>
      <c r="D188" s="6" t="str">
        <f t="shared" si="5"/>
        <v/>
      </c>
    </row>
    <row r="189" spans="1:4" x14ac:dyDescent="0.4">
      <c r="A189" s="7">
        <v>46223</v>
      </c>
      <c r="B189" s="3"/>
      <c r="C189" s="4" t="str">
        <f>IF(B189="","",MAX($B$4:B189))</f>
        <v/>
      </c>
      <c r="D189" s="6" t="str">
        <f t="shared" si="5"/>
        <v/>
      </c>
    </row>
    <row r="190" spans="1:4" x14ac:dyDescent="0.4">
      <c r="A190" s="7">
        <v>46224</v>
      </c>
      <c r="B190" s="3"/>
      <c r="C190" s="4" t="str">
        <f>IF(B190="","",MAX($B$4:B190))</f>
        <v/>
      </c>
      <c r="D190" s="6" t="str">
        <f t="shared" si="5"/>
        <v/>
      </c>
    </row>
    <row r="191" spans="1:4" x14ac:dyDescent="0.4">
      <c r="A191" s="7">
        <v>46225</v>
      </c>
      <c r="B191" s="3"/>
      <c r="C191" s="4" t="str">
        <f>IF(B191="","",MAX($B$4:B191))</f>
        <v/>
      </c>
      <c r="D191" s="6" t="str">
        <f t="shared" si="5"/>
        <v/>
      </c>
    </row>
    <row r="192" spans="1:4" x14ac:dyDescent="0.4">
      <c r="A192" s="7">
        <v>46226</v>
      </c>
      <c r="B192" s="3"/>
      <c r="C192" s="4" t="str">
        <f>IF(B192="","",MAX($B$4:B192))</f>
        <v/>
      </c>
      <c r="D192" s="6" t="str">
        <f t="shared" si="5"/>
        <v/>
      </c>
    </row>
    <row r="193" spans="1:4" x14ac:dyDescent="0.4">
      <c r="A193" s="7">
        <v>46227</v>
      </c>
      <c r="B193" s="3"/>
      <c r="C193" s="4" t="str">
        <f>IF(B193="","",MAX($B$4:B193))</f>
        <v/>
      </c>
      <c r="D193" s="6" t="str">
        <f t="shared" si="5"/>
        <v/>
      </c>
    </row>
    <row r="194" spans="1:4" x14ac:dyDescent="0.4">
      <c r="A194" s="7">
        <v>46228</v>
      </c>
      <c r="B194" s="3"/>
      <c r="C194" s="4" t="str">
        <f>IF(B194="","",MAX($B$4:B194))</f>
        <v/>
      </c>
      <c r="D194" s="6" t="str">
        <f t="shared" si="5"/>
        <v/>
      </c>
    </row>
    <row r="195" spans="1:4" x14ac:dyDescent="0.4">
      <c r="A195" s="7">
        <v>46229</v>
      </c>
      <c r="B195" s="3"/>
      <c r="C195" s="4" t="str">
        <f>IF(B195="","",MAX($B$4:B195))</f>
        <v/>
      </c>
      <c r="D195" s="6" t="str">
        <f t="shared" si="5"/>
        <v/>
      </c>
    </row>
    <row r="196" spans="1:4" x14ac:dyDescent="0.4">
      <c r="A196" s="7">
        <v>46230</v>
      </c>
      <c r="B196" s="3"/>
      <c r="C196" s="4" t="str">
        <f>IF(B196="","",MAX($B$4:B196))</f>
        <v/>
      </c>
      <c r="D196" s="6" t="str">
        <f t="shared" ref="D196:D203" si="6">IF(OR(B196="",C196=0),"",B196/C196-1)</f>
        <v/>
      </c>
    </row>
    <row r="197" spans="1:4" x14ac:dyDescent="0.4">
      <c r="A197" s="7">
        <v>46231</v>
      </c>
      <c r="B197" s="3"/>
      <c r="C197" s="4" t="str">
        <f>IF(B197="","",MAX($B$4:B197))</f>
        <v/>
      </c>
      <c r="D197" s="6" t="str">
        <f t="shared" si="6"/>
        <v/>
      </c>
    </row>
    <row r="198" spans="1:4" x14ac:dyDescent="0.4">
      <c r="A198" s="7">
        <v>46232</v>
      </c>
      <c r="B198" s="3"/>
      <c r="C198" s="4" t="str">
        <f>IF(B198="","",MAX($B$4:B198))</f>
        <v/>
      </c>
      <c r="D198" s="6" t="str">
        <f t="shared" si="6"/>
        <v/>
      </c>
    </row>
    <row r="199" spans="1:4" x14ac:dyDescent="0.4">
      <c r="A199" s="7">
        <v>46233</v>
      </c>
      <c r="B199" s="3"/>
      <c r="C199" s="4" t="str">
        <f>IF(B199="","",MAX($B$4:B199))</f>
        <v/>
      </c>
      <c r="D199" s="6" t="str">
        <f t="shared" si="6"/>
        <v/>
      </c>
    </row>
    <row r="200" spans="1:4" x14ac:dyDescent="0.4">
      <c r="A200" s="7">
        <v>46234</v>
      </c>
      <c r="B200" s="3"/>
      <c r="C200" s="4" t="str">
        <f>IF(B200="","",MAX($B$4:B200))</f>
        <v/>
      </c>
      <c r="D200" s="6" t="str">
        <f t="shared" si="6"/>
        <v/>
      </c>
    </row>
    <row r="201" spans="1:4" x14ac:dyDescent="0.4">
      <c r="A201" s="7">
        <v>46235</v>
      </c>
      <c r="B201" s="3"/>
      <c r="C201" s="4" t="str">
        <f>IF(B201="","",MAX($B$4:B201))</f>
        <v/>
      </c>
      <c r="D201" s="6" t="str">
        <f t="shared" si="6"/>
        <v/>
      </c>
    </row>
    <row r="202" spans="1:4" x14ac:dyDescent="0.4">
      <c r="A202" s="7">
        <v>46236</v>
      </c>
      <c r="B202" s="3"/>
      <c r="C202" s="4" t="str">
        <f>IF(B202="","",MAX($B$4:B202))</f>
        <v/>
      </c>
      <c r="D202" s="6" t="str">
        <f t="shared" si="6"/>
        <v/>
      </c>
    </row>
    <row r="203" spans="1:4" x14ac:dyDescent="0.4">
      <c r="A203" s="7">
        <v>46237</v>
      </c>
      <c r="B203" s="3"/>
      <c r="C203" s="4" t="str">
        <f>IF(B203="","",MAX($B$4:B203))</f>
        <v/>
      </c>
      <c r="D203" s="6" t="str">
        <f t="shared" si="6"/>
        <v/>
      </c>
    </row>
  </sheetData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5"/>
  <sheetViews>
    <sheetView tabSelected="1" workbookViewId="0">
      <selection activeCell="D5" sqref="D5"/>
    </sheetView>
  </sheetViews>
  <sheetFormatPr defaultRowHeight="14.6" x14ac:dyDescent="0.4"/>
  <cols>
    <col min="1" max="1" width="13.84375" bestFit="1" customWidth="1"/>
    <col min="2" max="2" width="11.84375" bestFit="1" customWidth="1"/>
    <col min="4" max="4" width="9.23046875" bestFit="1" customWidth="1"/>
    <col min="5" max="5" width="6.84375" bestFit="1" customWidth="1"/>
  </cols>
  <sheetData>
    <row r="1" spans="1:5" ht="18.45" x14ac:dyDescent="0.5">
      <c r="A1" s="10" t="s">
        <v>66</v>
      </c>
      <c r="B1" s="10"/>
    </row>
    <row r="3" spans="1:5" x14ac:dyDescent="0.4">
      <c r="A3" s="2" t="s">
        <v>67</v>
      </c>
      <c r="B3" s="2" t="s">
        <v>68</v>
      </c>
      <c r="D3" s="2" t="s">
        <v>79</v>
      </c>
      <c r="E3" s="2" t="s">
        <v>59</v>
      </c>
    </row>
    <row r="4" spans="1:5" x14ac:dyDescent="0.4">
      <c r="A4" t="s">
        <v>69</v>
      </c>
      <c r="B4" s="4">
        <f>Config!$B$4</f>
        <v>99215.41</v>
      </c>
      <c r="D4" t="s">
        <v>21</v>
      </c>
      <c r="E4" s="6">
        <f>SUMIF(Holdings!$A$4:$A$11,"L0+",Holdings!$G$4:$G$11)/Holdings!$B$16</f>
        <v>0.73610168743041404</v>
      </c>
    </row>
    <row r="5" spans="1:5" x14ac:dyDescent="0.4">
      <c r="A5" t="s">
        <v>70</v>
      </c>
      <c r="B5" s="4">
        <f>SUMIFS(Cash_Flow!$C:$C,Cash_Flow!$B:$B,"Deposit")-SUMIFS(Cash_Flow!$C:$C,Cash_Flow!$B:$B,"Withdrawal")</f>
        <v>12130.90090124227</v>
      </c>
      <c r="D5" t="s">
        <v>22</v>
      </c>
      <c r="E5" s="6">
        <f>SUMIF(Holdings!$A$4:$A$11,"L1",Holdings!$G$4:$G$11)/Holdings!$B$16</f>
        <v>0.10297479279632901</v>
      </c>
    </row>
    <row r="6" spans="1:5" x14ac:dyDescent="0.4">
      <c r="A6" t="s">
        <v>44</v>
      </c>
      <c r="B6" s="4">
        <f>SUM(Transactions!$N$4:$N$206)</f>
        <v>5278.1475620320625</v>
      </c>
      <c r="D6" t="s">
        <v>23</v>
      </c>
      <c r="E6" s="6">
        <f>SUMIF(Holdings!$A$4:$A$11,"L2",Holdings!$G$4:$G$11)/Holdings!$B$16</f>
        <v>0</v>
      </c>
    </row>
    <row r="7" spans="1:5" x14ac:dyDescent="0.4">
      <c r="A7" t="s">
        <v>58</v>
      </c>
      <c r="B7" s="4">
        <f>SUM(Holdings!$H$4:$H$11)</f>
        <v>567.32869446790755</v>
      </c>
      <c r="D7" t="s">
        <v>60</v>
      </c>
      <c r="E7" s="6">
        <f>Holdings!$B$15/Holdings!$B$16</f>
        <v>0.160923519773257</v>
      </c>
    </row>
    <row r="8" spans="1:5" x14ac:dyDescent="0.4">
      <c r="A8" t="s">
        <v>71</v>
      </c>
      <c r="B8" s="4">
        <f>B6+B7</f>
        <v>5845.4762564999701</v>
      </c>
    </row>
    <row r="9" spans="1:5" x14ac:dyDescent="0.4">
      <c r="A9" t="s">
        <v>72</v>
      </c>
      <c r="B9" s="4">
        <f>Holdings!$B$16</f>
        <v>117191.78715774225</v>
      </c>
    </row>
    <row r="10" spans="1:5" x14ac:dyDescent="0.4">
      <c r="A10" t="s">
        <v>73</v>
      </c>
      <c r="B10" s="6">
        <f>IF(B4=0,0,B8/B4)</f>
        <v>5.891701960915114E-2</v>
      </c>
    </row>
    <row r="11" spans="1:5" x14ac:dyDescent="0.4">
      <c r="A11" t="s">
        <v>74</v>
      </c>
      <c r="B11" s="6">
        <f>IF(B4+B5=0,0,(B9-B4-B5)/(B4+B5))</f>
        <v>5.2498158306156846E-2</v>
      </c>
    </row>
    <row r="12" spans="1:5" x14ac:dyDescent="0.4">
      <c r="A12" t="s">
        <v>75</v>
      </c>
      <c r="B12">
        <f>COUNTIF(Transactions!$N$4:$N$206,"&gt;0")+COUNTIF(Transactions!$N$4:$N$206,"&lt;0")</f>
        <v>15</v>
      </c>
    </row>
    <row r="13" spans="1:5" x14ac:dyDescent="0.4">
      <c r="A13" t="s">
        <v>76</v>
      </c>
      <c r="B13" s="6">
        <f>IF(B12=0,0,COUNTIF(Transactions!$N$4:$N$206,"&gt;0")/B12)</f>
        <v>0.53333333333333333</v>
      </c>
    </row>
    <row r="14" spans="1:5" x14ac:dyDescent="0.4">
      <c r="A14" t="s">
        <v>77</v>
      </c>
      <c r="B14">
        <f>IF(ABS(SUMIF(Transactions!$N$4:$N$206,"&lt;0"))=0,0,SUMIF(Transactions!$N$4:$N$206,"&gt;0")/ABS(SUMIF(Transactions!$N$4:$N$206,"&lt;0")))</f>
        <v>3.9644694770106224</v>
      </c>
    </row>
    <row r="15" spans="1:5" x14ac:dyDescent="0.4">
      <c r="A15" t="s">
        <v>78</v>
      </c>
      <c r="B15" s="6">
        <f>MIN(Daily_Equity!$D$4:$D$203)</f>
        <v>-7.3530489796632903E-2</v>
      </c>
    </row>
  </sheetData>
  <mergeCells count="1">
    <mergeCell ref="A1:B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Config</vt:lpstr>
      <vt:lpstr>Prices</vt:lpstr>
      <vt:lpstr>Transactions</vt:lpstr>
      <vt:lpstr>Cash_Flow</vt:lpstr>
      <vt:lpstr>Holdings</vt:lpstr>
      <vt:lpstr>Daily_Equity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Zhang</dc:creator>
  <cp:lastModifiedBy>Jason Zhang</cp:lastModifiedBy>
  <dcterms:created xsi:type="dcterms:W3CDTF">2026-05-14T02:37:31Z</dcterms:created>
  <dcterms:modified xsi:type="dcterms:W3CDTF">2026-06-25T03:00:20Z</dcterms:modified>
</cp:coreProperties>
</file>