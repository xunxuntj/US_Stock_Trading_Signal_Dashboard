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ef5c2a6851dcc6/6Career/100KProject/AG_Workspaces/01_Trading_System/"/>
    </mc:Choice>
  </mc:AlternateContent>
  <xr:revisionPtr revIDLastSave="526" documentId="8_{F24EDEFF-CD39-4ED1-B723-CD42DB7B064C}" xr6:coauthVersionLast="47" xr6:coauthVersionMax="47" xr10:uidLastSave="{3CEDD9C4-FC49-43DC-97D3-B28C91A4ECF5}"/>
  <bookViews>
    <workbookView xWindow="-103" yWindow="-103" windowWidth="24892" windowHeight="14914" xr2:uid="{81A449B8-FAEF-4F15-8247-20DBD91976E3}"/>
  </bookViews>
  <sheets>
    <sheet name="港美股打新记录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7" i="7" l="1"/>
  <c r="X115" i="7"/>
  <c r="V114" i="7"/>
  <c r="X116" i="7"/>
  <c r="X114" i="7"/>
  <c r="J109" i="7" l="1"/>
  <c r="J110" i="7"/>
  <c r="K110" i="7" s="1"/>
  <c r="L110" i="7" s="1"/>
  <c r="K109" i="7"/>
  <c r="L109" i="7"/>
  <c r="O109" i="7" s="1"/>
  <c r="P109" i="7" s="1"/>
  <c r="T109" i="7" a="1"/>
  <c r="T109" i="7" s="1"/>
  <c r="T110" i="7" a="1"/>
  <c r="T110" i="7" s="1"/>
  <c r="J111" i="7"/>
  <c r="K111" i="7" s="1"/>
  <c r="L111" i="7" s="1"/>
  <c r="T111" i="7" a="1"/>
  <c r="T111" i="7" s="1"/>
  <c r="J105" i="7"/>
  <c r="J106" i="7"/>
  <c r="K105" i="7"/>
  <c r="L105" i="7" s="1"/>
  <c r="K106" i="7"/>
  <c r="L106" i="7" s="1"/>
  <c r="T105" i="7" a="1"/>
  <c r="T105" i="7" s="1"/>
  <c r="T106" i="7" a="1"/>
  <c r="T106" i="7" s="1"/>
  <c r="J108" i="7"/>
  <c r="T108" i="7" a="1"/>
  <c r="T108" i="7" s="1"/>
  <c r="U108" i="7" s="1"/>
  <c r="J107" i="7"/>
  <c r="K107" i="7" s="1"/>
  <c r="L107" i="7" s="1"/>
  <c r="T107" i="7" a="1"/>
  <c r="T107" i="7" s="1"/>
  <c r="J97" i="7"/>
  <c r="K97" i="7" s="1"/>
  <c r="L97" i="7" s="1"/>
  <c r="T97" i="7" a="1"/>
  <c r="T97" i="7" s="1"/>
  <c r="J94" i="7"/>
  <c r="K94" i="7" s="1"/>
  <c r="L94" i="7" s="1"/>
  <c r="R94" i="7" s="1"/>
  <c r="S94" i="7" s="1"/>
  <c r="J95" i="7"/>
  <c r="K95" i="7" s="1"/>
  <c r="L95" i="7" s="1"/>
  <c r="O95" i="7" s="1"/>
  <c r="P95" i="7" s="1"/>
  <c r="J96" i="7"/>
  <c r="K96" i="7" s="1"/>
  <c r="L96" i="7" s="1"/>
  <c r="O96" i="7" s="1"/>
  <c r="P96" i="7" s="1"/>
  <c r="J98" i="7"/>
  <c r="K98" i="7" s="1"/>
  <c r="L98" i="7" s="1"/>
  <c r="O98" i="7" s="1"/>
  <c r="P98" i="7" s="1"/>
  <c r="J99" i="7"/>
  <c r="K99" i="7" s="1"/>
  <c r="L99" i="7" s="1"/>
  <c r="O99" i="7" s="1"/>
  <c r="P99" i="7" s="1"/>
  <c r="T94" i="7" a="1"/>
  <c r="T94" i="7" s="1"/>
  <c r="T95" i="7" a="1"/>
  <c r="T95" i="7" s="1"/>
  <c r="T96" i="7" a="1"/>
  <c r="T96" i="7" s="1"/>
  <c r="T98" i="7" a="1"/>
  <c r="T98" i="7" s="1"/>
  <c r="T99" i="7" a="1"/>
  <c r="T99" i="7" s="1"/>
  <c r="U99" i="7" s="1"/>
  <c r="J100" i="7"/>
  <c r="K100" i="7" s="1"/>
  <c r="L100" i="7" s="1"/>
  <c r="J101" i="7"/>
  <c r="K101" i="7" s="1"/>
  <c r="L101" i="7" s="1"/>
  <c r="T100" i="7" a="1"/>
  <c r="T100" i="7" s="1"/>
  <c r="U100" i="7" s="1"/>
  <c r="T101" i="7" a="1"/>
  <c r="T101" i="7" s="1"/>
  <c r="J103" i="7"/>
  <c r="K103" i="7" s="1"/>
  <c r="L103" i="7" s="1"/>
  <c r="T103" i="7" a="1"/>
  <c r="T103" i="7" s="1"/>
  <c r="J102" i="7"/>
  <c r="K102" i="7" s="1"/>
  <c r="L102" i="7" s="1"/>
  <c r="O102" i="7" s="1"/>
  <c r="P102" i="7" s="1"/>
  <c r="T102" i="7" a="1"/>
  <c r="T102" i="7" s="1"/>
  <c r="J89" i="7"/>
  <c r="K89" i="7" s="1"/>
  <c r="T89" i="7" a="1"/>
  <c r="T89" i="7" s="1"/>
  <c r="J91" i="7"/>
  <c r="K91" i="7" s="1"/>
  <c r="L91" i="7" s="1"/>
  <c r="O91" i="7" s="1"/>
  <c r="T91" i="7" a="1"/>
  <c r="T91" i="7" s="1"/>
  <c r="J93" i="7"/>
  <c r="K93" i="7" s="1"/>
  <c r="L93" i="7" s="1"/>
  <c r="O93" i="7" s="1"/>
  <c r="T93" i="7" a="1"/>
  <c r="T93" i="7" s="1"/>
  <c r="J88" i="7"/>
  <c r="K88" i="7" s="1"/>
  <c r="L88" i="7" s="1"/>
  <c r="O88" i="7" s="1"/>
  <c r="T88" i="7" a="1"/>
  <c r="T88" i="7" s="1"/>
  <c r="J90" i="7"/>
  <c r="K90" i="7" s="1"/>
  <c r="L90" i="7" s="1"/>
  <c r="O90" i="7" s="1"/>
  <c r="T90" i="7" a="1"/>
  <c r="T90" i="7" s="1"/>
  <c r="J92" i="7"/>
  <c r="K92" i="7" s="1"/>
  <c r="L92" i="7" s="1"/>
  <c r="R92" i="7" s="1"/>
  <c r="T92" i="7" a="1"/>
  <c r="T92" i="7" s="1"/>
  <c r="J104" i="7"/>
  <c r="K104" i="7" s="1"/>
  <c r="L104" i="7" s="1"/>
  <c r="O104" i="7" s="1"/>
  <c r="T104" i="7" a="1"/>
  <c r="T104" i="7" s="1"/>
  <c r="J80" i="7"/>
  <c r="K80" i="7" s="1"/>
  <c r="L80" i="7" s="1"/>
  <c r="R80" i="7" s="1"/>
  <c r="J81" i="7"/>
  <c r="K81" i="7" s="1"/>
  <c r="J82" i="7"/>
  <c r="K82" i="7" s="1"/>
  <c r="L82" i="7" s="1"/>
  <c r="O82" i="7" s="1"/>
  <c r="J83" i="7"/>
  <c r="K83" i="7" s="1"/>
  <c r="L83" i="7" s="1"/>
  <c r="R83" i="7" s="1"/>
  <c r="T80" i="7" a="1"/>
  <c r="T80" i="7" s="1"/>
  <c r="T81" i="7" a="1"/>
  <c r="T81" i="7" s="1"/>
  <c r="U81" i="7" s="1"/>
  <c r="T82" i="7" a="1"/>
  <c r="T82" i="7" s="1"/>
  <c r="T83" i="7" a="1"/>
  <c r="T83" i="7" s="1"/>
  <c r="J84" i="7"/>
  <c r="K84" i="7" s="1"/>
  <c r="L84" i="7" s="1"/>
  <c r="O84" i="7" s="1"/>
  <c r="J85" i="7"/>
  <c r="K85" i="7" s="1"/>
  <c r="L85" i="7" s="1"/>
  <c r="R85" i="7" s="1"/>
  <c r="T84" i="7" a="1"/>
  <c r="T84" i="7" s="1"/>
  <c r="T85" i="7" a="1"/>
  <c r="T85" i="7" s="1"/>
  <c r="J86" i="7"/>
  <c r="K86" i="7" s="1"/>
  <c r="L86" i="7" s="1"/>
  <c r="R86" i="7" s="1"/>
  <c r="T86" i="7" a="1"/>
  <c r="T86" i="7" s="1"/>
  <c r="U86" i="7" s="1"/>
  <c r="J87" i="7"/>
  <c r="K87" i="7" s="1"/>
  <c r="L87" i="7" s="1"/>
  <c r="O87" i="7" s="1"/>
  <c r="T87" i="7" a="1"/>
  <c r="T87" i="7" s="1"/>
  <c r="J74" i="7"/>
  <c r="K74" i="7" s="1"/>
  <c r="L74" i="7" s="1"/>
  <c r="O74" i="7" s="1"/>
  <c r="J75" i="7"/>
  <c r="K75" i="7" s="1"/>
  <c r="L75" i="7" s="1"/>
  <c r="O75" i="7" s="1"/>
  <c r="J76" i="7"/>
  <c r="K76" i="7" s="1"/>
  <c r="L76" i="7" s="1"/>
  <c r="O76" i="7" s="1"/>
  <c r="T74" i="7" a="1"/>
  <c r="T74" i="7" s="1"/>
  <c r="T75" i="7" a="1"/>
  <c r="T75" i="7" s="1"/>
  <c r="T76" i="7" a="1"/>
  <c r="T76" i="7" s="1"/>
  <c r="J77" i="7"/>
  <c r="K77" i="7" s="1"/>
  <c r="L77" i="7" s="1"/>
  <c r="O77" i="7" s="1"/>
  <c r="T77" i="7" a="1"/>
  <c r="T77" i="7" s="1"/>
  <c r="J78" i="7"/>
  <c r="K78" i="7" s="1"/>
  <c r="L78" i="7" s="1"/>
  <c r="O78" i="7" s="1"/>
  <c r="T78" i="7" a="1"/>
  <c r="T78" i="7" s="1"/>
  <c r="J73" i="7"/>
  <c r="K73" i="7" s="1"/>
  <c r="L73" i="7" s="1"/>
  <c r="O73" i="7" s="1"/>
  <c r="T73" i="7" a="1"/>
  <c r="T73" i="7" s="1"/>
  <c r="J67" i="7"/>
  <c r="K67" i="7" s="1"/>
  <c r="L67" i="7" s="1"/>
  <c r="R67" i="7" s="1"/>
  <c r="J68" i="7"/>
  <c r="K68" i="7" s="1"/>
  <c r="L68" i="7" s="1"/>
  <c r="R68" i="7" s="1"/>
  <c r="J69" i="7"/>
  <c r="K69" i="7" s="1"/>
  <c r="L69" i="7" s="1"/>
  <c r="R69" i="7" s="1"/>
  <c r="T67" i="7" a="1"/>
  <c r="T67" i="7" s="1"/>
  <c r="T68" i="7" a="1"/>
  <c r="T68" i="7" s="1"/>
  <c r="U68" i="7" s="1"/>
  <c r="T69" i="7" a="1"/>
  <c r="T69" i="7" s="1"/>
  <c r="J70" i="7"/>
  <c r="K70" i="7" s="1"/>
  <c r="L70" i="7" s="1"/>
  <c r="R70" i="7" s="1"/>
  <c r="J71" i="7"/>
  <c r="K71" i="7" s="1"/>
  <c r="L71" i="7" s="1"/>
  <c r="O71" i="7" s="1"/>
  <c r="T70" i="7" a="1"/>
  <c r="T70" i="7" s="1"/>
  <c r="T71" i="7" a="1"/>
  <c r="T71" i="7" s="1"/>
  <c r="J72" i="7"/>
  <c r="K72" i="7" s="1"/>
  <c r="L72" i="7" s="1"/>
  <c r="O72" i="7" s="1"/>
  <c r="T72" i="7" a="1"/>
  <c r="T72" i="7" s="1"/>
  <c r="J65" i="7"/>
  <c r="K65" i="7" s="1"/>
  <c r="L65" i="7" s="1"/>
  <c r="O65" i="7" s="1"/>
  <c r="J66" i="7"/>
  <c r="K66" i="7" s="1"/>
  <c r="L66" i="7" s="1"/>
  <c r="O66" i="7" s="1"/>
  <c r="T65" i="7" a="1"/>
  <c r="T65" i="7" s="1"/>
  <c r="T66" i="7" a="1"/>
  <c r="T66" i="7" s="1"/>
  <c r="U66" i="7" s="1"/>
  <c r="J64" i="7"/>
  <c r="K64" i="7" s="1"/>
  <c r="L64" i="7" s="1"/>
  <c r="O64" i="7" s="1"/>
  <c r="T64" i="7" a="1"/>
  <c r="T64" i="7" s="1"/>
  <c r="U64" i="7" s="1"/>
  <c r="J58" i="7"/>
  <c r="K58" i="7" s="1"/>
  <c r="L58" i="7" s="1"/>
  <c r="O58" i="7" s="1"/>
  <c r="J59" i="7"/>
  <c r="K59" i="7" s="1"/>
  <c r="L59" i="7" s="1"/>
  <c r="O59" i="7" s="1"/>
  <c r="J60" i="7"/>
  <c r="K60" i="7" s="1"/>
  <c r="L60" i="7" s="1"/>
  <c r="O60" i="7" s="1"/>
  <c r="J61" i="7"/>
  <c r="K61" i="7" s="1"/>
  <c r="L61" i="7" s="1"/>
  <c r="O61" i="7" s="1"/>
  <c r="T58" i="7" a="1"/>
  <c r="T58" i="7" s="1"/>
  <c r="T59" i="7" a="1"/>
  <c r="T59" i="7" s="1"/>
  <c r="T60" i="7" a="1"/>
  <c r="T60" i="7" s="1"/>
  <c r="T61" i="7" a="1"/>
  <c r="T61" i="7" s="1"/>
  <c r="J62" i="7"/>
  <c r="K62" i="7" s="1"/>
  <c r="L62" i="7" s="1"/>
  <c r="O62" i="7" s="1"/>
  <c r="J63" i="7"/>
  <c r="K63" i="7" s="1"/>
  <c r="L63" i="7" s="1"/>
  <c r="O63" i="7" s="1"/>
  <c r="T62" i="7" a="1"/>
  <c r="T62" i="7" s="1"/>
  <c r="T63" i="7" a="1"/>
  <c r="T63" i="7" s="1"/>
  <c r="J52" i="7"/>
  <c r="K52" i="7" s="1"/>
  <c r="L52" i="7" s="1"/>
  <c r="O52" i="7" s="1"/>
  <c r="J53" i="7"/>
  <c r="K53" i="7" s="1"/>
  <c r="L53" i="7" s="1"/>
  <c r="R53" i="7" s="1"/>
  <c r="J54" i="7"/>
  <c r="K54" i="7" s="1"/>
  <c r="L54" i="7" s="1"/>
  <c r="R54" i="7" s="1"/>
  <c r="J55" i="7"/>
  <c r="K55" i="7" s="1"/>
  <c r="L55" i="7" s="1"/>
  <c r="O55" i="7" s="1"/>
  <c r="T52" i="7" a="1"/>
  <c r="T52" i="7" s="1"/>
  <c r="T53" i="7" a="1"/>
  <c r="T53" i="7" s="1"/>
  <c r="T54" i="7" a="1"/>
  <c r="T54" i="7" s="1"/>
  <c r="T55" i="7" a="1"/>
  <c r="T55" i="7" s="1"/>
  <c r="J56" i="7"/>
  <c r="K56" i="7" s="1"/>
  <c r="L56" i="7" s="1"/>
  <c r="O56" i="7" s="1"/>
  <c r="J57" i="7"/>
  <c r="K57" i="7" s="1"/>
  <c r="L57" i="7" s="1"/>
  <c r="O57" i="7" s="1"/>
  <c r="T56" i="7" a="1"/>
  <c r="T56" i="7" s="1"/>
  <c r="T57" i="7" a="1"/>
  <c r="T57" i="7" s="1"/>
  <c r="J48" i="7"/>
  <c r="K48" i="7" s="1"/>
  <c r="L48" i="7" s="1"/>
  <c r="O48" i="7" s="1"/>
  <c r="J49" i="7"/>
  <c r="K49" i="7" s="1"/>
  <c r="L49" i="7" s="1"/>
  <c r="O49" i="7" s="1"/>
  <c r="T48" i="7" a="1"/>
  <c r="T48" i="7" s="1"/>
  <c r="T49" i="7" a="1"/>
  <c r="T49" i="7" s="1"/>
  <c r="J50" i="7"/>
  <c r="K50" i="7" s="1"/>
  <c r="L50" i="7" s="1"/>
  <c r="O50" i="7" s="1"/>
  <c r="J51" i="7"/>
  <c r="K51" i="7" s="1"/>
  <c r="L51" i="7" s="1"/>
  <c r="R51" i="7" s="1"/>
  <c r="T50" i="7" a="1"/>
  <c r="T50" i="7" s="1"/>
  <c r="U50" i="7" s="1"/>
  <c r="T51" i="7" a="1"/>
  <c r="T51" i="7" s="1"/>
  <c r="J47" i="7"/>
  <c r="K47" i="7" s="1"/>
  <c r="L47" i="7" s="1"/>
  <c r="O47" i="7" s="1"/>
  <c r="T47" i="7" a="1"/>
  <c r="T47" i="7" s="1"/>
  <c r="J112" i="7"/>
  <c r="K112" i="7" s="1"/>
  <c r="L112" i="7" s="1"/>
  <c r="T112" i="7" a="1"/>
  <c r="T112" i="7" s="1"/>
  <c r="J79" i="7"/>
  <c r="K79" i="7" s="1"/>
  <c r="L79" i="7" s="1"/>
  <c r="O79" i="7" s="1"/>
  <c r="T79" i="7" a="1"/>
  <c r="T79" i="7" s="1"/>
  <c r="U79" i="7" s="1"/>
  <c r="J44" i="7"/>
  <c r="K44" i="7" s="1"/>
  <c r="L44" i="7" s="1"/>
  <c r="R44" i="7" s="1"/>
  <c r="T44" i="7" a="1"/>
  <c r="T44" i="7" s="1"/>
  <c r="J46" i="7"/>
  <c r="K46" i="7" s="1"/>
  <c r="L46" i="7" s="1"/>
  <c r="O46" i="7" s="1"/>
  <c r="T46" i="7" a="1"/>
  <c r="T46" i="7" s="1"/>
  <c r="J42" i="7"/>
  <c r="K42" i="7" s="1"/>
  <c r="L42" i="7" s="1"/>
  <c r="O42" i="7" s="1"/>
  <c r="T42" i="7" a="1"/>
  <c r="T42" i="7" s="1"/>
  <c r="J45" i="7"/>
  <c r="K45" i="7" s="1"/>
  <c r="L45" i="7" s="1"/>
  <c r="O45" i="7" s="1"/>
  <c r="T45" i="7" a="1"/>
  <c r="T45" i="7" s="1"/>
  <c r="J40" i="7"/>
  <c r="K40" i="7" s="1"/>
  <c r="L40" i="7" s="1"/>
  <c r="O40" i="7" s="1"/>
  <c r="T40" i="7" a="1"/>
  <c r="T40" i="7" s="1"/>
  <c r="T2" i="7" a="1"/>
  <c r="T2" i="7" s="1"/>
  <c r="U2" i="7" s="1"/>
  <c r="J2" i="7"/>
  <c r="K2" i="7" s="1"/>
  <c r="L2" i="7" s="1"/>
  <c r="O2" i="7" s="1"/>
  <c r="T3" i="7" a="1"/>
  <c r="T3" i="7" s="1"/>
  <c r="J3" i="7"/>
  <c r="K3" i="7" s="1"/>
  <c r="L3" i="7" s="1"/>
  <c r="R3" i="7" s="1"/>
  <c r="T5" i="7" a="1"/>
  <c r="T5" i="7" s="1"/>
  <c r="J5" i="7"/>
  <c r="K5" i="7" s="1"/>
  <c r="L5" i="7" s="1"/>
  <c r="R5" i="7" s="1"/>
  <c r="T6" i="7" a="1"/>
  <c r="T6" i="7" s="1"/>
  <c r="U6" i="7" s="1"/>
  <c r="J6" i="7"/>
  <c r="K6" i="7" s="1"/>
  <c r="L6" i="7" s="1"/>
  <c r="O6" i="7" s="1"/>
  <c r="T4" i="7" a="1"/>
  <c r="T4" i="7" s="1"/>
  <c r="J4" i="7"/>
  <c r="K4" i="7" s="1"/>
  <c r="L4" i="7" s="1"/>
  <c r="O4" i="7" s="1"/>
  <c r="T7" i="7" a="1"/>
  <c r="T7" i="7" s="1"/>
  <c r="J7" i="7"/>
  <c r="K7" i="7" s="1"/>
  <c r="L7" i="7" s="1"/>
  <c r="O7" i="7" s="1"/>
  <c r="T8" i="7" a="1"/>
  <c r="T8" i="7" s="1"/>
  <c r="J8" i="7"/>
  <c r="K8" i="7" s="1"/>
  <c r="L8" i="7" s="1"/>
  <c r="O8" i="7" s="1"/>
  <c r="T9" i="7" a="1"/>
  <c r="T9" i="7" s="1"/>
  <c r="J9" i="7"/>
  <c r="K9" i="7" s="1"/>
  <c r="L9" i="7" s="1"/>
  <c r="O9" i="7" s="1"/>
  <c r="T10" i="7" a="1"/>
  <c r="T10" i="7" s="1"/>
  <c r="J10" i="7"/>
  <c r="K10" i="7" s="1"/>
  <c r="L10" i="7" s="1"/>
  <c r="R10" i="7" s="1"/>
  <c r="T11" i="7" a="1"/>
  <c r="T11" i="7" s="1"/>
  <c r="J11" i="7"/>
  <c r="K11" i="7" s="1"/>
  <c r="L11" i="7" s="1"/>
  <c r="O11" i="7" s="1"/>
  <c r="T12" i="7" a="1"/>
  <c r="T12" i="7" s="1"/>
  <c r="J12" i="7"/>
  <c r="K12" i="7" s="1"/>
  <c r="L12" i="7" s="1"/>
  <c r="R12" i="7" s="1"/>
  <c r="T13" i="7" a="1"/>
  <c r="T13" i="7" s="1"/>
  <c r="J13" i="7"/>
  <c r="K13" i="7" s="1"/>
  <c r="L13" i="7" s="1"/>
  <c r="O13" i="7" s="1"/>
  <c r="T14" i="7" a="1"/>
  <c r="T14" i="7" s="1"/>
  <c r="J14" i="7"/>
  <c r="K14" i="7" s="1"/>
  <c r="L14" i="7" s="1"/>
  <c r="T15" i="7" a="1"/>
  <c r="T15" i="7" s="1"/>
  <c r="J15" i="7"/>
  <c r="K15" i="7" s="1"/>
  <c r="L15" i="7" s="1"/>
  <c r="O15" i="7" s="1"/>
  <c r="T16" i="7" a="1"/>
  <c r="T16" i="7" s="1"/>
  <c r="J16" i="7"/>
  <c r="K16" i="7" s="1"/>
  <c r="L16" i="7" s="1"/>
  <c r="R16" i="7" s="1"/>
  <c r="T17" i="7" a="1"/>
  <c r="T17" i="7" s="1"/>
  <c r="J17" i="7"/>
  <c r="K17" i="7" s="1"/>
  <c r="L17" i="7" s="1"/>
  <c r="R17" i="7" s="1"/>
  <c r="T18" i="7" a="1"/>
  <c r="T18" i="7" s="1"/>
  <c r="J18" i="7"/>
  <c r="K18" i="7" s="1"/>
  <c r="L18" i="7" s="1"/>
  <c r="O18" i="7" s="1"/>
  <c r="T19" i="7" a="1"/>
  <c r="T19" i="7" s="1"/>
  <c r="J19" i="7"/>
  <c r="K19" i="7" s="1"/>
  <c r="L19" i="7" s="1"/>
  <c r="O19" i="7" s="1"/>
  <c r="T20" i="7" a="1"/>
  <c r="T20" i="7" s="1"/>
  <c r="J20" i="7"/>
  <c r="K20" i="7" s="1"/>
  <c r="L20" i="7" s="1"/>
  <c r="O20" i="7" s="1"/>
  <c r="T21" i="7" a="1"/>
  <c r="T21" i="7" s="1"/>
  <c r="J21" i="7"/>
  <c r="K21" i="7" s="1"/>
  <c r="L21" i="7" s="1"/>
  <c r="R21" i="7" s="1"/>
  <c r="T22" i="7" a="1"/>
  <c r="T22" i="7" s="1"/>
  <c r="J22" i="7"/>
  <c r="K22" i="7" s="1"/>
  <c r="L22" i="7" s="1"/>
  <c r="R22" i="7" s="1"/>
  <c r="T23" i="7" a="1"/>
  <c r="T23" i="7" s="1"/>
  <c r="J23" i="7"/>
  <c r="K23" i="7" s="1"/>
  <c r="L23" i="7" s="1"/>
  <c r="O23" i="7" s="1"/>
  <c r="T24" i="7" a="1"/>
  <c r="T24" i="7" s="1"/>
  <c r="J24" i="7"/>
  <c r="K24" i="7" s="1"/>
  <c r="L24" i="7" s="1"/>
  <c r="O24" i="7" s="1"/>
  <c r="T25" i="7" a="1"/>
  <c r="T25" i="7" s="1"/>
  <c r="U25" i="7" s="1"/>
  <c r="J25" i="7"/>
  <c r="K25" i="7" s="1"/>
  <c r="L25" i="7" s="1"/>
  <c r="O25" i="7" s="1"/>
  <c r="T26" i="7" a="1"/>
  <c r="T26" i="7" s="1"/>
  <c r="J26" i="7"/>
  <c r="K26" i="7" s="1"/>
  <c r="L26" i="7" s="1"/>
  <c r="O26" i="7" s="1"/>
  <c r="T27" i="7" a="1"/>
  <c r="T27" i="7" s="1"/>
  <c r="J27" i="7"/>
  <c r="K27" i="7" s="1"/>
  <c r="L27" i="7" s="1"/>
  <c r="O27" i="7" s="1"/>
  <c r="T28" i="7" a="1"/>
  <c r="T28" i="7" s="1"/>
  <c r="U28" i="7" s="1"/>
  <c r="J28" i="7"/>
  <c r="K28" i="7" s="1"/>
  <c r="L28" i="7" s="1"/>
  <c r="O28" i="7" s="1"/>
  <c r="T29" i="7" a="1"/>
  <c r="T29" i="7" s="1"/>
  <c r="J29" i="7"/>
  <c r="K29" i="7" s="1"/>
  <c r="L29" i="7" s="1"/>
  <c r="O29" i="7" s="1"/>
  <c r="T30" i="7" a="1"/>
  <c r="T30" i="7" s="1"/>
  <c r="J30" i="7"/>
  <c r="K30" i="7" s="1"/>
  <c r="L30" i="7" s="1"/>
  <c r="R30" i="7" s="1"/>
  <c r="T31" i="7" a="1"/>
  <c r="T31" i="7" s="1"/>
  <c r="J31" i="7"/>
  <c r="K31" i="7" s="1"/>
  <c r="L31" i="7" s="1"/>
  <c r="O31" i="7" s="1"/>
  <c r="T32" i="7" a="1"/>
  <c r="T32" i="7" s="1"/>
  <c r="J32" i="7"/>
  <c r="K32" i="7" s="1"/>
  <c r="L32" i="7" s="1"/>
  <c r="R32" i="7" s="1"/>
  <c r="T33" i="7" a="1"/>
  <c r="T33" i="7" s="1"/>
  <c r="J33" i="7"/>
  <c r="K33" i="7" s="1"/>
  <c r="L33" i="7" s="1"/>
  <c r="R33" i="7" s="1"/>
  <c r="T34" i="7" a="1"/>
  <c r="T34" i="7" s="1"/>
  <c r="J34" i="7"/>
  <c r="K34" i="7" s="1"/>
  <c r="L34" i="7" s="1"/>
  <c r="O34" i="7" s="1"/>
  <c r="T35" i="7" a="1"/>
  <c r="T35" i="7" s="1"/>
  <c r="U35" i="7" s="1"/>
  <c r="J35" i="7"/>
  <c r="K35" i="7" s="1"/>
  <c r="L35" i="7" s="1"/>
  <c r="O35" i="7" s="1"/>
  <c r="T36" i="7" a="1"/>
  <c r="T36" i="7" s="1"/>
  <c r="J36" i="7"/>
  <c r="K36" i="7" s="1"/>
  <c r="L36" i="7" s="1"/>
  <c r="R36" i="7" s="1"/>
  <c r="T37" i="7" a="1"/>
  <c r="T37" i="7" s="1"/>
  <c r="J37" i="7"/>
  <c r="K37" i="7" s="1"/>
  <c r="L37" i="7" s="1"/>
  <c r="R37" i="7" s="1"/>
  <c r="T38" i="7" a="1"/>
  <c r="T38" i="7" s="1"/>
  <c r="J38" i="7"/>
  <c r="K38" i="7" s="1"/>
  <c r="L38" i="7" s="1"/>
  <c r="R38" i="7" s="1"/>
  <c r="T39" i="7" a="1"/>
  <c r="T39" i="7" s="1"/>
  <c r="J39" i="7"/>
  <c r="K39" i="7" s="1"/>
  <c r="L39" i="7" s="1"/>
  <c r="O39" i="7" s="1"/>
  <c r="T41" i="7" a="1"/>
  <c r="T41" i="7" s="1"/>
  <c r="J41" i="7"/>
  <c r="K41" i="7" s="1"/>
  <c r="L41" i="7" s="1"/>
  <c r="O41" i="7" s="1"/>
  <c r="T43" i="7" a="1"/>
  <c r="T43" i="7" s="1"/>
  <c r="J43" i="7"/>
  <c r="K43" i="7" s="1"/>
  <c r="L43" i="7" s="1"/>
  <c r="D116" i="7"/>
  <c r="D115" i="7"/>
  <c r="R109" i="7" l="1"/>
  <c r="S109" i="7" s="1"/>
  <c r="U109" i="7"/>
  <c r="V109" i="7"/>
  <c r="W109" i="7"/>
  <c r="R110" i="7"/>
  <c r="S110" i="7" s="1"/>
  <c r="U110" i="7"/>
  <c r="V110" i="7"/>
  <c r="W110" i="7"/>
  <c r="O105" i="7"/>
  <c r="P105" i="7" s="1"/>
  <c r="R105" i="7"/>
  <c r="S105" i="7" s="1"/>
  <c r="U111" i="7"/>
  <c r="V111" i="7"/>
  <c r="W111" i="7"/>
  <c r="O111" i="7"/>
  <c r="P111" i="7" s="1"/>
  <c r="R111" i="7"/>
  <c r="S111" i="7" s="1"/>
  <c r="V108" i="7"/>
  <c r="U105" i="7"/>
  <c r="V105" i="7"/>
  <c r="W105" i="7"/>
  <c r="O106" i="7"/>
  <c r="P106" i="7" s="1"/>
  <c r="R106" i="7"/>
  <c r="S106" i="7" s="1"/>
  <c r="U106" i="7"/>
  <c r="V106" i="7"/>
  <c r="W106" i="7"/>
  <c r="K108" i="7"/>
  <c r="L108" i="7" s="1"/>
  <c r="U107" i="7"/>
  <c r="W107" i="7"/>
  <c r="O107" i="7"/>
  <c r="P107" i="7" s="1"/>
  <c r="R107" i="7"/>
  <c r="S107" i="7" s="1"/>
  <c r="V107" i="7"/>
  <c r="O92" i="7"/>
  <c r="P92" i="7" s="1"/>
  <c r="U97" i="7"/>
  <c r="V97" i="7"/>
  <c r="W97" i="7"/>
  <c r="O97" i="7"/>
  <c r="P97" i="7" s="1"/>
  <c r="R97" i="7"/>
  <c r="S97" i="7" s="1"/>
  <c r="R98" i="7"/>
  <c r="S98" i="7" s="1"/>
  <c r="O94" i="7"/>
  <c r="P94" i="7" s="1"/>
  <c r="V96" i="7"/>
  <c r="W96" i="7"/>
  <c r="U96" i="7"/>
  <c r="U98" i="7"/>
  <c r="V98" i="7"/>
  <c r="W98" i="7"/>
  <c r="V95" i="7"/>
  <c r="W95" i="7"/>
  <c r="U95" i="7"/>
  <c r="V94" i="7"/>
  <c r="W94" i="7"/>
  <c r="U94" i="7"/>
  <c r="R99" i="7"/>
  <c r="S99" i="7" s="1"/>
  <c r="W99" i="7"/>
  <c r="R96" i="7"/>
  <c r="S96" i="7" s="1"/>
  <c r="R95" i="7"/>
  <c r="S95" i="7" s="1"/>
  <c r="O86" i="7"/>
  <c r="P86" i="7" s="1"/>
  <c r="O83" i="7"/>
  <c r="P83" i="7" s="1"/>
  <c r="V99" i="7"/>
  <c r="U101" i="7"/>
  <c r="W101" i="7"/>
  <c r="V101" i="7"/>
  <c r="R101" i="7"/>
  <c r="S101" i="7" s="1"/>
  <c r="O101" i="7"/>
  <c r="P101" i="7" s="1"/>
  <c r="O100" i="7"/>
  <c r="P100" i="7" s="1"/>
  <c r="R100" i="7"/>
  <c r="S100" i="7" s="1"/>
  <c r="O85" i="7"/>
  <c r="P85" i="7" s="1"/>
  <c r="O38" i="7"/>
  <c r="P38" i="7" s="1"/>
  <c r="W100" i="7"/>
  <c r="O33" i="7"/>
  <c r="P33" i="7" s="1"/>
  <c r="O32" i="7"/>
  <c r="P32" i="7" s="1"/>
  <c r="V100" i="7"/>
  <c r="R66" i="7"/>
  <c r="S66" i="7" s="1"/>
  <c r="R64" i="7"/>
  <c r="S64" i="7" s="1"/>
  <c r="R52" i="7"/>
  <c r="S52" i="7" s="1"/>
  <c r="R50" i="7"/>
  <c r="S50" i="7" s="1"/>
  <c r="U103" i="7"/>
  <c r="W103" i="7"/>
  <c r="V103" i="7"/>
  <c r="O103" i="7"/>
  <c r="P103" i="7" s="1"/>
  <c r="R103" i="7"/>
  <c r="S103" i="7" s="1"/>
  <c r="O112" i="7"/>
  <c r="P112" i="7" s="1"/>
  <c r="R112" i="7"/>
  <c r="S112" i="7" s="1"/>
  <c r="O30" i="7"/>
  <c r="P30" i="7" s="1"/>
  <c r="O80" i="7"/>
  <c r="P80" i="7" s="1"/>
  <c r="O70" i="7"/>
  <c r="P70" i="7" s="1"/>
  <c r="O17" i="7"/>
  <c r="P17" i="7" s="1"/>
  <c r="O22" i="7"/>
  <c r="P22" i="7" s="1"/>
  <c r="R47" i="7"/>
  <c r="S47" i="7" s="1"/>
  <c r="O69" i="7"/>
  <c r="P69" i="7" s="1"/>
  <c r="O16" i="7"/>
  <c r="P16" i="7" s="1"/>
  <c r="R34" i="7"/>
  <c r="S34" i="7" s="1"/>
  <c r="O68" i="7"/>
  <c r="P68" i="7" s="1"/>
  <c r="O3" i="7"/>
  <c r="P3" i="7" s="1"/>
  <c r="O67" i="7"/>
  <c r="P67" i="7" s="1"/>
  <c r="R104" i="7"/>
  <c r="S104" i="7" s="1"/>
  <c r="R20" i="7"/>
  <c r="S20" i="7" s="1"/>
  <c r="O54" i="7"/>
  <c r="P54" i="7" s="1"/>
  <c r="R87" i="7"/>
  <c r="S87" i="7" s="1"/>
  <c r="R18" i="7"/>
  <c r="S18" i="7" s="1"/>
  <c r="O53" i="7"/>
  <c r="P53" i="7" s="1"/>
  <c r="R82" i="7"/>
  <c r="S82" i="7" s="1"/>
  <c r="O51" i="7"/>
  <c r="P51" i="7" s="1"/>
  <c r="R2" i="7"/>
  <c r="O14" i="7"/>
  <c r="P14" i="7" s="1"/>
  <c r="R14" i="7"/>
  <c r="S14" i="7" s="1"/>
  <c r="U102" i="7"/>
  <c r="V102" i="7"/>
  <c r="W102" i="7"/>
  <c r="O37" i="7"/>
  <c r="P37" i="7" s="1"/>
  <c r="O21" i="7"/>
  <c r="P21" i="7" s="1"/>
  <c r="O5" i="7"/>
  <c r="P5" i="7" s="1"/>
  <c r="R35" i="7"/>
  <c r="S35" i="7" s="1"/>
  <c r="R19" i="7"/>
  <c r="S19" i="7" s="1"/>
  <c r="R84" i="7"/>
  <c r="S84" i="7" s="1"/>
  <c r="R4" i="7"/>
  <c r="S4" i="7" s="1"/>
  <c r="R65" i="7"/>
  <c r="S65" i="7" s="1"/>
  <c r="R49" i="7"/>
  <c r="S49" i="7" s="1"/>
  <c r="R48" i="7"/>
  <c r="S48" i="7" s="1"/>
  <c r="R79" i="7"/>
  <c r="S79" i="7" s="1"/>
  <c r="R63" i="7"/>
  <c r="S63" i="7" s="1"/>
  <c r="R31" i="7"/>
  <c r="S31" i="7" s="1"/>
  <c r="R15" i="7"/>
  <c r="S15" i="7" s="1"/>
  <c r="R78" i="7"/>
  <c r="S78" i="7" s="1"/>
  <c r="R62" i="7"/>
  <c r="S62" i="7" s="1"/>
  <c r="R46" i="7"/>
  <c r="S46" i="7" s="1"/>
  <c r="P20" i="7"/>
  <c r="R93" i="7"/>
  <c r="S93" i="7" s="1"/>
  <c r="R77" i="7"/>
  <c r="S77" i="7" s="1"/>
  <c r="R61" i="7"/>
  <c r="S61" i="7" s="1"/>
  <c r="R45" i="7"/>
  <c r="S45" i="7" s="1"/>
  <c r="R29" i="7"/>
  <c r="S29" i="7" s="1"/>
  <c r="R13" i="7"/>
  <c r="S13" i="7" s="1"/>
  <c r="R76" i="7"/>
  <c r="S76" i="7" s="1"/>
  <c r="R91" i="7"/>
  <c r="S91" i="7" s="1"/>
  <c r="R43" i="7"/>
  <c r="S43" i="7" s="1"/>
  <c r="R27" i="7"/>
  <c r="S27" i="7" s="1"/>
  <c r="R11" i="7"/>
  <c r="S11" i="7" s="1"/>
  <c r="R60" i="7"/>
  <c r="S60" i="7" s="1"/>
  <c r="R28" i="7"/>
  <c r="S28" i="7" s="1"/>
  <c r="R75" i="7"/>
  <c r="S75" i="7" s="1"/>
  <c r="O44" i="7"/>
  <c r="P44" i="7" s="1"/>
  <c r="O12" i="7"/>
  <c r="P12" i="7" s="1"/>
  <c r="R90" i="7"/>
  <c r="S90" i="7" s="1"/>
  <c r="R74" i="7"/>
  <c r="S74" i="7" s="1"/>
  <c r="R58" i="7"/>
  <c r="S58" i="7" s="1"/>
  <c r="R42" i="7"/>
  <c r="S42" i="7" s="1"/>
  <c r="R26" i="7"/>
  <c r="S26" i="7" s="1"/>
  <c r="R102" i="7"/>
  <c r="S102" i="7" s="1"/>
  <c r="R59" i="7"/>
  <c r="S59" i="7" s="1"/>
  <c r="O43" i="7"/>
  <c r="P43" i="7" s="1"/>
  <c r="R73" i="7"/>
  <c r="S73" i="7" s="1"/>
  <c r="R57" i="7"/>
  <c r="S57" i="7" s="1"/>
  <c r="R41" i="7"/>
  <c r="S41" i="7" s="1"/>
  <c r="R25" i="7"/>
  <c r="S25" i="7" s="1"/>
  <c r="R9" i="7"/>
  <c r="S9" i="7" s="1"/>
  <c r="O10" i="7"/>
  <c r="P10" i="7" s="1"/>
  <c r="R88" i="7"/>
  <c r="S88" i="7" s="1"/>
  <c r="R72" i="7"/>
  <c r="S72" i="7" s="1"/>
  <c r="R56" i="7"/>
  <c r="S56" i="7" s="1"/>
  <c r="R40" i="7"/>
  <c r="S40" i="7" s="1"/>
  <c r="R24" i="7"/>
  <c r="S24" i="7" s="1"/>
  <c r="R8" i="7"/>
  <c r="S8" i="7" s="1"/>
  <c r="R71" i="7"/>
  <c r="S71" i="7" s="1"/>
  <c r="R55" i="7"/>
  <c r="S55" i="7" s="1"/>
  <c r="R39" i="7"/>
  <c r="S39" i="7" s="1"/>
  <c r="R23" i="7"/>
  <c r="S23" i="7" s="1"/>
  <c r="R7" i="7"/>
  <c r="S7" i="7" s="1"/>
  <c r="R6" i="7"/>
  <c r="S6" i="7" s="1"/>
  <c r="O36" i="7"/>
  <c r="P36" i="7" s="1"/>
  <c r="P27" i="7"/>
  <c r="S83" i="7"/>
  <c r="P78" i="7"/>
  <c r="U89" i="7"/>
  <c r="V89" i="7"/>
  <c r="L89" i="7"/>
  <c r="W89" i="7"/>
  <c r="U91" i="7"/>
  <c r="V91" i="7"/>
  <c r="W91" i="7"/>
  <c r="P91" i="7"/>
  <c r="V63" i="7"/>
  <c r="U93" i="7"/>
  <c r="W93" i="7"/>
  <c r="P93" i="7"/>
  <c r="V93" i="7"/>
  <c r="V47" i="7"/>
  <c r="U88" i="7"/>
  <c r="V88" i="7"/>
  <c r="W88" i="7"/>
  <c r="P48" i="7"/>
  <c r="P88" i="7"/>
  <c r="P7" i="7"/>
  <c r="P65" i="7"/>
  <c r="U90" i="7"/>
  <c r="V90" i="7"/>
  <c r="W90" i="7"/>
  <c r="P2" i="7"/>
  <c r="P90" i="7"/>
  <c r="S44" i="7"/>
  <c r="P49" i="7"/>
  <c r="P55" i="7"/>
  <c r="P63" i="7"/>
  <c r="S68" i="7"/>
  <c r="S3" i="7"/>
  <c r="P4" i="7"/>
  <c r="P47" i="7"/>
  <c r="P42" i="7"/>
  <c r="P11" i="7"/>
  <c r="P45" i="7"/>
  <c r="W92" i="7"/>
  <c r="U92" i="7"/>
  <c r="V92" i="7"/>
  <c r="S92" i="7"/>
  <c r="W63" i="7"/>
  <c r="S10" i="7"/>
  <c r="V49" i="7"/>
  <c r="U63" i="7"/>
  <c r="S21" i="7"/>
  <c r="P71" i="7"/>
  <c r="P41" i="7"/>
  <c r="P15" i="7"/>
  <c r="P57" i="7"/>
  <c r="S70" i="7"/>
  <c r="S37" i="7"/>
  <c r="P9" i="7"/>
  <c r="S38" i="7"/>
  <c r="P46" i="7"/>
  <c r="P56" i="7"/>
  <c r="P66" i="7"/>
  <c r="P77" i="7"/>
  <c r="S32" i="7"/>
  <c r="P26" i="7"/>
  <c r="P8" i="7"/>
  <c r="S51" i="7"/>
  <c r="S69" i="7"/>
  <c r="P18" i="7"/>
  <c r="S12" i="7"/>
  <c r="P75" i="7"/>
  <c r="P64" i="7"/>
  <c r="P62" i="7"/>
  <c r="P19" i="7"/>
  <c r="P25" i="7"/>
  <c r="S30" i="7"/>
  <c r="P61" i="7"/>
  <c r="S67" i="7"/>
  <c r="P74" i="7"/>
  <c r="P40" i="7"/>
  <c r="P76" i="7"/>
  <c r="P23" i="7"/>
  <c r="P60" i="7"/>
  <c r="S80" i="7"/>
  <c r="P35" i="7"/>
  <c r="S53" i="7"/>
  <c r="P59" i="7"/>
  <c r="P79" i="7"/>
  <c r="P31" i="7"/>
  <c r="P50" i="7"/>
  <c r="P28" i="7"/>
  <c r="S22" i="7"/>
  <c r="P58" i="7"/>
  <c r="P73" i="7"/>
  <c r="U104" i="7"/>
  <c r="V104" i="7"/>
  <c r="W104" i="7"/>
  <c r="S5" i="7"/>
  <c r="P13" i="7"/>
  <c r="P29" i="7"/>
  <c r="S17" i="7"/>
  <c r="S54" i="7"/>
  <c r="P39" i="7"/>
  <c r="P24" i="7"/>
  <c r="P34" i="7"/>
  <c r="P6" i="7"/>
  <c r="P52" i="7"/>
  <c r="P104" i="7"/>
  <c r="P72" i="7"/>
  <c r="V32" i="7"/>
  <c r="V23" i="7"/>
  <c r="W15" i="7"/>
  <c r="S16" i="7"/>
  <c r="S36" i="7"/>
  <c r="W74" i="7"/>
  <c r="W40" i="7"/>
  <c r="W31" i="7"/>
  <c r="W18" i="7"/>
  <c r="W73" i="7"/>
  <c r="S33" i="7"/>
  <c r="W72" i="7"/>
  <c r="W8" i="7"/>
  <c r="P87" i="7"/>
  <c r="S86" i="7"/>
  <c r="S85" i="7"/>
  <c r="P84" i="7"/>
  <c r="P82" i="7"/>
  <c r="D117" i="7"/>
  <c r="U61" i="7"/>
  <c r="W61" i="7"/>
  <c r="V61" i="7"/>
  <c r="W64" i="7"/>
  <c r="V64" i="7"/>
  <c r="U59" i="7"/>
  <c r="W59" i="7"/>
  <c r="V59" i="7"/>
  <c r="V58" i="7"/>
  <c r="U58" i="7"/>
  <c r="W58" i="7"/>
  <c r="W9" i="7"/>
  <c r="V9" i="7"/>
  <c r="U9" i="7"/>
  <c r="W29" i="7"/>
  <c r="V29" i="7"/>
  <c r="U29" i="7"/>
  <c r="U42" i="7"/>
  <c r="W42" i="7"/>
  <c r="V42" i="7"/>
  <c r="W52" i="7"/>
  <c r="V52" i="7"/>
  <c r="U52" i="7"/>
  <c r="U55" i="7"/>
  <c r="W55" i="7"/>
  <c r="V55" i="7"/>
  <c r="U53" i="7"/>
  <c r="W53" i="7"/>
  <c r="V53" i="7"/>
  <c r="W3" i="7"/>
  <c r="U3" i="7"/>
  <c r="V3" i="7"/>
  <c r="U51" i="7"/>
  <c r="V51" i="7"/>
  <c r="W51" i="7"/>
  <c r="U19" i="7"/>
  <c r="W19" i="7"/>
  <c r="V19" i="7"/>
  <c r="U57" i="7"/>
  <c r="V57" i="7"/>
  <c r="W57" i="7"/>
  <c r="U71" i="7"/>
  <c r="V71" i="7"/>
  <c r="W86" i="7"/>
  <c r="V50" i="7"/>
  <c r="W50" i="7"/>
  <c r="V62" i="7"/>
  <c r="W62" i="7"/>
  <c r="U62" i="7"/>
  <c r="V41" i="7"/>
  <c r="U41" i="7"/>
  <c r="W41" i="7"/>
  <c r="U12" i="7"/>
  <c r="W12" i="7"/>
  <c r="V12" i="7"/>
  <c r="U65" i="7"/>
  <c r="W65" i="7"/>
  <c r="V65" i="7"/>
  <c r="U76" i="7"/>
  <c r="V76" i="7"/>
  <c r="W76" i="7"/>
  <c r="V39" i="7"/>
  <c r="W39" i="7"/>
  <c r="U39" i="7"/>
  <c r="U75" i="7"/>
  <c r="V75" i="7"/>
  <c r="W75" i="7"/>
  <c r="U87" i="7"/>
  <c r="V87" i="7"/>
  <c r="W87" i="7"/>
  <c r="V11" i="7"/>
  <c r="W11" i="7"/>
  <c r="U11" i="7"/>
  <c r="V82" i="7"/>
  <c r="W82" i="7"/>
  <c r="U82" i="7"/>
  <c r="W34" i="7"/>
  <c r="V34" i="7"/>
  <c r="U34" i="7"/>
  <c r="U112" i="7"/>
  <c r="V112" i="7"/>
  <c r="W112" i="7"/>
  <c r="W38" i="7"/>
  <c r="U38" i="7"/>
  <c r="V38" i="7"/>
  <c r="W7" i="7"/>
  <c r="U7" i="7"/>
  <c r="V7" i="7"/>
  <c r="U67" i="7"/>
  <c r="W67" i="7"/>
  <c r="V67" i="7"/>
  <c r="W80" i="7"/>
  <c r="V80" i="7"/>
  <c r="U80" i="7"/>
  <c r="U30" i="7"/>
  <c r="W30" i="7"/>
  <c r="V30" i="7"/>
  <c r="U26" i="7"/>
  <c r="V26" i="7"/>
  <c r="W26" i="7"/>
  <c r="W22" i="7"/>
  <c r="V22" i="7"/>
  <c r="U22" i="7"/>
  <c r="W56" i="7"/>
  <c r="V56" i="7"/>
  <c r="U56" i="7"/>
  <c r="V60" i="7"/>
  <c r="W60" i="7"/>
  <c r="U60" i="7"/>
  <c r="V37" i="7"/>
  <c r="W37" i="7"/>
  <c r="U37" i="7"/>
  <c r="U10" i="7"/>
  <c r="W10" i="7"/>
  <c r="V10" i="7"/>
  <c r="W33" i="7"/>
  <c r="U33" i="7"/>
  <c r="V33" i="7"/>
  <c r="V78" i="7"/>
  <c r="U78" i="7"/>
  <c r="W78" i="7"/>
  <c r="U16" i="7"/>
  <c r="V16" i="7"/>
  <c r="W16" i="7"/>
  <c r="U45" i="7"/>
  <c r="V45" i="7"/>
  <c r="W45" i="7"/>
  <c r="U69" i="7"/>
  <c r="V69" i="7"/>
  <c r="W69" i="7"/>
  <c r="U14" i="7"/>
  <c r="W14" i="7"/>
  <c r="V14" i="7"/>
  <c r="W4" i="7"/>
  <c r="U4" i="7"/>
  <c r="V4" i="7"/>
  <c r="U48" i="7"/>
  <c r="V48" i="7"/>
  <c r="W48" i="7"/>
  <c r="V21" i="7"/>
  <c r="W21" i="7"/>
  <c r="U21" i="7"/>
  <c r="V85" i="7"/>
  <c r="U85" i="7"/>
  <c r="W85" i="7"/>
  <c r="V20" i="7"/>
  <c r="U20" i="7"/>
  <c r="W20" i="7"/>
  <c r="V36" i="7"/>
  <c r="U36" i="7"/>
  <c r="W36" i="7"/>
  <c r="U54" i="7"/>
  <c r="W54" i="7"/>
  <c r="V54" i="7"/>
  <c r="W70" i="7"/>
  <c r="U70" i="7"/>
  <c r="V70" i="7"/>
  <c r="U84" i="7"/>
  <c r="V84" i="7"/>
  <c r="W84" i="7"/>
  <c r="W17" i="7"/>
  <c r="U17" i="7"/>
  <c r="V17" i="7"/>
  <c r="V77" i="7"/>
  <c r="W77" i="7"/>
  <c r="U77" i="7"/>
  <c r="W27" i="7"/>
  <c r="U27" i="7"/>
  <c r="V27" i="7"/>
  <c r="W5" i="7"/>
  <c r="U5" i="7"/>
  <c r="V5" i="7"/>
  <c r="V83" i="7"/>
  <c r="U83" i="7"/>
  <c r="W83" i="7"/>
  <c r="W46" i="7"/>
  <c r="U46" i="7"/>
  <c r="V46" i="7"/>
  <c r="U43" i="7"/>
  <c r="W43" i="7"/>
  <c r="V43" i="7"/>
  <c r="V24" i="7"/>
  <c r="W24" i="7"/>
  <c r="U24" i="7"/>
  <c r="W13" i="7"/>
  <c r="V13" i="7"/>
  <c r="U13" i="7"/>
  <c r="W44" i="7"/>
  <c r="V44" i="7"/>
  <c r="U44" i="7"/>
  <c r="W66" i="7"/>
  <c r="V25" i="7"/>
  <c r="W32" i="7"/>
  <c r="W23" i="7"/>
  <c r="U32" i="7"/>
  <c r="W6" i="7"/>
  <c r="W71" i="7"/>
  <c r="V74" i="7"/>
  <c r="W35" i="7"/>
  <c r="U23" i="7"/>
  <c r="U8" i="7"/>
  <c r="V40" i="7"/>
  <c r="V72" i="7"/>
  <c r="U74" i="7"/>
  <c r="W2" i="7"/>
  <c r="U49" i="7"/>
  <c r="V35" i="7"/>
  <c r="V8" i="7"/>
  <c r="U40" i="7"/>
  <c r="U72" i="7"/>
  <c r="V15" i="7"/>
  <c r="V79" i="7"/>
  <c r="V66" i="7"/>
  <c r="W79" i="7"/>
  <c r="W81" i="7"/>
  <c r="V2" i="7"/>
  <c r="U15" i="7"/>
  <c r="V68" i="7"/>
  <c r="V86" i="7"/>
  <c r="V6" i="7"/>
  <c r="U31" i="7"/>
  <c r="V31" i="7"/>
  <c r="W28" i="7"/>
  <c r="V28" i="7"/>
  <c r="W68" i="7"/>
  <c r="V18" i="7"/>
  <c r="W25" i="7"/>
  <c r="W47" i="7"/>
  <c r="V73" i="7"/>
  <c r="U18" i="7"/>
  <c r="U47" i="7"/>
  <c r="W49" i="7"/>
  <c r="U73" i="7"/>
  <c r="V81" i="7"/>
  <c r="L81" i="7"/>
  <c r="S114" i="7" l="1"/>
  <c r="W108" i="7"/>
  <c r="R108" i="7"/>
  <c r="S108" i="7" s="1"/>
  <c r="O108" i="7"/>
  <c r="P108" i="7" s="1"/>
  <c r="S2" i="7"/>
  <c r="V115" i="7"/>
  <c r="O81" i="7"/>
  <c r="R81" i="7"/>
  <c r="S115" i="7" s="1"/>
  <c r="O89" i="7"/>
  <c r="P89" i="7" s="1"/>
  <c r="R89" i="7"/>
  <c r="S89" i="7" s="1"/>
  <c r="S117" i="7" l="1"/>
  <c r="S116" i="7"/>
  <c r="V117" i="7"/>
  <c r="V116" i="7"/>
  <c r="P81" i="7"/>
  <c r="S81" i="7"/>
  <c r="O110" i="7"/>
  <c r="P115" i="7"/>
  <c r="P116" i="7" s="1"/>
  <c r="P110" i="7"/>
  <c r="P114" i="7" s="1"/>
  <c r="P117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<sst xmlns="http://schemas.openxmlformats.org/spreadsheetml/2006/main" count="265" uniqueCount="149">
  <si>
    <t>股票名称</t>
  </si>
  <si>
    <t>奇瑞汽车</t>
  </si>
  <si>
    <t>中签数</t>
  </si>
  <si>
    <t>配签数</t>
  </si>
  <si>
    <t>卖出价</t>
  </si>
  <si>
    <t>打新本金</t>
  </si>
  <si>
    <t>交易费用</t>
  </si>
  <si>
    <t>中签价</t>
  </si>
  <si>
    <t>紫金黄金</t>
  </si>
  <si>
    <t>长风制药</t>
  </si>
  <si>
    <t>挚达科技</t>
  </si>
  <si>
    <t>轩竹生物</t>
  </si>
  <si>
    <t>云迹</t>
  </si>
  <si>
    <t>汇率</t>
  </si>
  <si>
    <t>市场</t>
  </si>
  <si>
    <t>收益额</t>
  </si>
  <si>
    <t>HK</t>
  </si>
  <si>
    <t>US</t>
  </si>
  <si>
    <t>张恺霖</t>
  </si>
  <si>
    <t>张忻霖</t>
  </si>
  <si>
    <t>张迅</t>
  </si>
  <si>
    <t>合计收益率</t>
  </si>
  <si>
    <t>劲方医药-B</t>
  </si>
  <si>
    <t>不同集团</t>
  </si>
  <si>
    <t>GEMI</t>
  </si>
  <si>
    <t>FIGR</t>
  </si>
  <si>
    <t>禾赛</t>
  </si>
  <si>
    <t>大行科工</t>
  </si>
  <si>
    <t>双登股份</t>
  </si>
  <si>
    <t>天岳先进</t>
  </si>
  <si>
    <t>打新费用</t>
  </si>
  <si>
    <t>费用合计</t>
  </si>
  <si>
    <t>银诺医药-B</t>
  </si>
  <si>
    <t>DKI</t>
  </si>
  <si>
    <t>中慧生物-B</t>
  </si>
  <si>
    <t>泰德医药</t>
  </si>
  <si>
    <t>IFBH</t>
  </si>
  <si>
    <t>曹操出行</t>
  </si>
  <si>
    <t>周六福</t>
  </si>
  <si>
    <t>香江电器</t>
  </si>
  <si>
    <t>海天味业</t>
  </si>
  <si>
    <t>恒瑞医药</t>
  </si>
  <si>
    <t>宁德时代</t>
  </si>
  <si>
    <t>沪上阿姨</t>
  </si>
  <si>
    <t>CHA</t>
  </si>
  <si>
    <t>蜜雪集团</t>
  </si>
  <si>
    <t>单次收益率</t>
  </si>
  <si>
    <t>聚水潭</t>
  </si>
  <si>
    <t>广和通</t>
  </si>
  <si>
    <t>海西新药</t>
  </si>
  <si>
    <t>三一重工</t>
  </si>
  <si>
    <t>明略科技-W</t>
  </si>
  <si>
    <t>小马智行-W</t>
  </si>
  <si>
    <t>旺山旺水-B</t>
  </si>
  <si>
    <t>均胜电子</t>
  </si>
  <si>
    <t>文远知行-W</t>
  </si>
  <si>
    <t>打新次数合计</t>
  </si>
  <si>
    <t>中签次数合计</t>
  </si>
  <si>
    <t>整体中签率：</t>
  </si>
  <si>
    <t>总收益</t>
  </si>
  <si>
    <t>乐舒适</t>
  </si>
  <si>
    <t>中伟新材</t>
  </si>
  <si>
    <t>创新实业</t>
  </si>
  <si>
    <t>量化派</t>
  </si>
  <si>
    <t>海伟股份</t>
  </si>
  <si>
    <t>金岩高岭新材</t>
  </si>
  <si>
    <t>乐摩科技</t>
  </si>
  <si>
    <t>天域半导体</t>
  </si>
  <si>
    <t>纳芯微</t>
  </si>
  <si>
    <t>宝济药业-B</t>
  </si>
  <si>
    <t>京东工业</t>
  </si>
  <si>
    <t>翰思艾泰-B</t>
  </si>
  <si>
    <t>轻松健康</t>
  </si>
  <si>
    <t>诺比侃</t>
  </si>
  <si>
    <t>英矽智能</t>
  </si>
  <si>
    <t>林清轩</t>
  </si>
  <si>
    <t>卧安机器人</t>
  </si>
  <si>
    <t>五一视界</t>
  </si>
  <si>
    <t>壁仞科技</t>
  </si>
  <si>
    <t>MINIMAX-WP</t>
  </si>
  <si>
    <t>智谱</t>
  </si>
  <si>
    <t>天数智芯</t>
  </si>
  <si>
    <t>精锋医疗-B</t>
  </si>
  <si>
    <t>金浔资源</t>
  </si>
  <si>
    <t>瑞博生物-B</t>
  </si>
  <si>
    <t>兆易创新</t>
  </si>
  <si>
    <t>龙旗科技</t>
  </si>
  <si>
    <t>BTGO</t>
  </si>
  <si>
    <t>鸣鸣很忙</t>
  </si>
  <si>
    <t>东鹏饮料</t>
  </si>
  <si>
    <t>爱芯元智</t>
  </si>
  <si>
    <t>澜起科技</t>
  </si>
  <si>
    <t>大族数控</t>
  </si>
  <si>
    <t>乐欣户外</t>
  </si>
  <si>
    <t>飞速创新</t>
  </si>
  <si>
    <t>按最大保证金投入（年化）</t>
  </si>
  <si>
    <t>按平均保证金投入（年化）</t>
  </si>
  <si>
    <t>张恺霖
投资本金</t>
  </si>
  <si>
    <t>张恺霖
投资收益</t>
  </si>
  <si>
    <t>张恺霖
投资返还</t>
  </si>
  <si>
    <t>张忻霖
投资本金</t>
  </si>
  <si>
    <t>张忻霖
投资收益</t>
  </si>
  <si>
    <t>张忻霖
投资返还</t>
  </si>
  <si>
    <t>港币
保证金折算</t>
  </si>
  <si>
    <t>港币
总费用支出</t>
  </si>
  <si>
    <t>港币
收益额折算</t>
  </si>
  <si>
    <t>极视角</t>
  </si>
  <si>
    <t>华沿机器人</t>
  </si>
  <si>
    <t>德适-B</t>
  </si>
  <si>
    <t>长光辰芯</t>
  </si>
  <si>
    <t>思格新能</t>
  </si>
  <si>
    <t>MANYCORE TECH</t>
  </si>
  <si>
    <t>胜宏科技</t>
  </si>
  <si>
    <t>华勤技术</t>
  </si>
  <si>
    <t>商米科技</t>
  </si>
  <si>
    <t>曦智科技</t>
  </si>
  <si>
    <t>迈威生物</t>
  </si>
  <si>
    <t>剂泰科技-P</t>
  </si>
  <si>
    <t>英派药业-B</t>
  </si>
  <si>
    <t>翼菲科技</t>
  </si>
  <si>
    <t>驭势科技</t>
  </si>
  <si>
    <t>拓璞数控</t>
  </si>
  <si>
    <t>丹诺医药</t>
  </si>
  <si>
    <t>深演智能</t>
  </si>
  <si>
    <t>云英谷科技</t>
  </si>
  <si>
    <t>结算系数</t>
  </si>
  <si>
    <t>创想三维</t>
  </si>
  <si>
    <t>首钢郎泽</t>
  </si>
  <si>
    <t>SENASIC</t>
  </si>
  <si>
    <t>海清智元</t>
  </si>
  <si>
    <t>中科闻歌</t>
  </si>
  <si>
    <t>芯碁微装</t>
  </si>
  <si>
    <t>仙工智能</t>
  </si>
  <si>
    <t>科拓股份</t>
  </si>
  <si>
    <t>礼邦医药-B</t>
  </si>
  <si>
    <t>鲟龙科技</t>
  </si>
  <si>
    <t>来福谐波</t>
  </si>
  <si>
    <t>江西生物</t>
  </si>
  <si>
    <t>Date</t>
  </si>
  <si>
    <t>当前账户总资产：</t>
  </si>
  <si>
    <t>当前账户总资产</t>
  </si>
  <si>
    <t>同仁堂医养</t>
  </si>
  <si>
    <t>瑞为技术</t>
  </si>
  <si>
    <t>易控智驾</t>
  </si>
  <si>
    <t>MOMENTA-W</t>
  </si>
  <si>
    <t>晶合集成</t>
  </si>
  <si>
    <t>鼎泰高科</t>
  </si>
  <si>
    <t>总投资时长</t>
  </si>
  <si>
    <t>胜率：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</si>
</sst>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 [$¥-804]* #,##0.00_ ;_ [$¥-804]* \-#,##0.00_ ;_ [$¥-804]* &quot;-&quot;??_ ;_ @_ "/>
    <numFmt numFmtId="166" formatCode="_([$HKD]\ * #,##0.00_);_([$HKD]\ * \(#,##0.00\);_([$HKD]\ * &quot;-&quot;??_);_(@_)"/>
    <numFmt numFmtId="167" formatCode="0.000%"/>
    <numFmt numFmtId="168" formatCode="_-[$$-409]* #,##0.00_ ;_-[$$-409]* \-#,##0.00\ ;_-[$$-409]* &quot;-&quot;??_ ;_-@_ "/>
    <numFmt numFmtId="169" formatCode="_ [$HKD]\ * #,##0.00_ ;_ [$HKD]\ * \-#,##0.00_ ;_ [$HKD]\ * &quot;-&quot;??_ ;_ @_ "/>
    <numFmt numFmtId="170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164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42">
    <xf numFmtId="0" fontId="0" fillId="0" borderId="0" xfId="0"/>
    <xf numFmtId="16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0" fontId="1" fillId="5" borderId="0" xfId="6" applyAlignment="1">
      <alignment horizontal="center" vertical="center"/>
    </xf>
    <xf numFmtId="0" fontId="1" fillId="2" borderId="0" xfId="2" applyAlignment="1">
      <alignment horizontal="center" vertical="center"/>
    </xf>
    <xf numFmtId="167" fontId="1" fillId="5" borderId="0" xfId="6" applyNumberFormat="1" applyAlignment="1">
      <alignment horizontal="center" vertical="center"/>
    </xf>
    <xf numFmtId="0" fontId="3" fillId="3" borderId="0" xfId="4" applyAlignment="1">
      <alignment horizontal="center" vertical="center"/>
    </xf>
    <xf numFmtId="166" fontId="0" fillId="0" borderId="0" xfId="3" applyNumberFormat="1" applyFont="1"/>
    <xf numFmtId="167" fontId="0" fillId="2" borderId="0" xfId="2" applyNumberFormat="1" applyFont="1" applyAlignment="1">
      <alignment horizontal="center" vertic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10" fontId="0" fillId="6" borderId="6" xfId="1" applyNumberFormat="1" applyFont="1" applyFill="1" applyBorder="1"/>
    <xf numFmtId="165" fontId="1" fillId="5" borderId="0" xfId="6" applyNumberFormat="1" applyAlignment="1">
      <alignment horizontal="center" vertical="center"/>
    </xf>
    <xf numFmtId="165" fontId="0" fillId="2" borderId="0" xfId="2" applyNumberFormat="1" applyFont="1" applyAlignment="1">
      <alignment horizontal="center" vertical="center"/>
    </xf>
    <xf numFmtId="166" fontId="3" fillId="3" borderId="0" xfId="4" applyNumberFormat="1" applyAlignment="1">
      <alignment horizontal="center" vertical="center"/>
    </xf>
    <xf numFmtId="10" fontId="3" fillId="3" borderId="0" xfId="4" applyNumberFormat="1" applyAlignment="1">
      <alignment horizontal="center" vertical="center"/>
    </xf>
    <xf numFmtId="10" fontId="1" fillId="2" borderId="0" xfId="1" applyNumberFormat="1" applyFill="1" applyAlignment="1">
      <alignment horizontal="center" vertical="center"/>
    </xf>
    <xf numFmtId="0" fontId="4" fillId="0" borderId="0" xfId="0" applyFont="1"/>
    <xf numFmtId="166" fontId="1" fillId="0" borderId="0" xfId="3" applyNumberFormat="1" applyFont="1"/>
    <xf numFmtId="168" fontId="0" fillId="0" borderId="0" xfId="3" applyNumberFormat="1" applyFont="1"/>
    <xf numFmtId="168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9" fontId="0" fillId="0" borderId="0" xfId="0" applyNumberFormat="1"/>
    <xf numFmtId="10" fontId="1" fillId="5" borderId="0" xfId="1" applyNumberFormat="1" applyFill="1" applyAlignment="1">
      <alignment horizontal="center" vertical="center"/>
    </xf>
    <xf numFmtId="10" fontId="5" fillId="3" borderId="0" xfId="1" applyNumberFormat="1" applyFont="1" applyFill="1" applyAlignment="1">
      <alignment horizontal="center" vertical="center"/>
    </xf>
    <xf numFmtId="170" fontId="0" fillId="0" borderId="0" xfId="0" applyNumberFormat="1"/>
    <xf numFmtId="170" fontId="5" fillId="0" borderId="0" xfId="0" applyNumberFormat="1" applyFont="1"/>
    <xf numFmtId="0" fontId="6" fillId="0" borderId="0" xfId="0" applyFont="1"/>
    <xf numFmtId="165" fontId="4" fillId="5" borderId="0" xfId="6" applyNumberFormat="1" applyFont="1" applyAlignment="1">
      <alignment horizontal="center" vertical="center"/>
    </xf>
    <xf numFmtId="165" fontId="4" fillId="2" borderId="0" xfId="2" applyNumberFormat="1" applyFont="1" applyAlignment="1">
      <alignment horizontal="center" vertical="center"/>
    </xf>
    <xf numFmtId="10" fontId="0" fillId="6" borderId="4" xfId="1" applyNumberFormat="1" applyFont="1" applyFill="1" applyBorder="1"/>
    <xf numFmtId="0" fontId="2" fillId="4" borderId="0" xfId="5" applyAlignment="1">
      <alignment horizontal="center" vertical="center"/>
    </xf>
    <xf numFmtId="0" fontId="1" fillId="5" borderId="0" xfId="6" applyAlignment="1">
      <alignment horizontal="center" vertical="center"/>
    </xf>
    <xf numFmtId="0" fontId="0" fillId="2" borderId="0" xfId="2" applyFont="1" applyAlignment="1">
      <alignment horizontal="center" vertical="center"/>
    </xf>
    <xf numFmtId="0" fontId="3" fillId="3" borderId="0" xfId="4" applyAlignment="1">
      <alignment horizontal="center" vertical="center"/>
    </xf>
  </cellXfs>
  <cellStyles count="7">
    <cellStyle name="20% - Accent1" xfId="2" builtinId="30"/>
    <cellStyle name="20% - Accent6" xfId="6" builtinId="50"/>
    <cellStyle name="Accent5" xfId="5" builtinId="45"/>
    <cellStyle name="Currency" xfId="3" builtinId="4"/>
    <cellStyle name="Neutral" xfId="4" builtinId="28"/>
    <cellStyle name="Normal" xfId="0" builtinId="0"/>
    <cellStyle name="Percent" xfId="1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0" formatCode="General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65" formatCode="_ [$¥-804]* #,##0.00_ ;_ [$¥-804]* \-#,##0.00_ ;_ [$¥-804]* &quot;-&quot;??_ ;_ @_ "/>
    </dxf>
    <dxf>
      <numFmt numFmtId="170" formatCode="0.0"/>
    </dxf>
    <dxf>
      <numFmt numFmtId="167" formatCode="0.000%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0.0%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  <dxf>
      <numFmt numFmtId="166" formatCode="_([$HKD]\ * #,##0.00_);_([$HKD]\ * \(#,##0.00\);_([$HKD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BA2C3-41CE-4823-B4AD-9B8E091AC24E}" name="Table2" displayName="Table2" ref="A1:W112">
  <autoFilter ref="A1:W112" xr:uid="{15ABA2C3-41CE-4823-B4AD-9B8E091AC24E}"/>
  <tableColumns count="23">
    <tableColumn id="1" xr3:uid="{43F10B51-84B8-41D6-A784-F0C41E908E29}" name="股票名称" totalsRowLabel="Total"/>
    <tableColumn id="18" xr3:uid="{E42BB459-CECC-452A-9D89-21B2474BA131}" name="市场"/>
    <tableColumn id="2" xr3:uid="{EF91B34E-A6CA-4D6B-A922-6E55D6885B96}" name="打新本金" totalsRowLabel="打新次数合计" dataDxfId="31"/>
    <tableColumn id="4" xr3:uid="{0BE8F3BA-D12E-46B8-973F-A8373187A381}" name="配签数" totalsRowFunction="custom">
      <totalsRowFormula>COUNTIF(Table2[配签数],"&gt;0")</totalsRowFormula>
    </tableColumn>
    <tableColumn id="25" xr3:uid="{F9EE7B5F-A2A5-4F3F-9797-51A19CAE81FC}" name="打新费用" totalsRowLabel="中签次数合计" dataDxfId="30"/>
    <tableColumn id="5" xr3:uid="{E199B2ED-0815-4F00-8CB9-2F26F4E8DF81}" name="中签数" totalsRowFunction="custom">
      <totalsRowFormula>COUNTIF(Table2[中签数],"&gt;0")</totalsRowFormula>
    </tableColumn>
    <tableColumn id="7" xr3:uid="{0342AFE3-E95B-414A-B5D0-978D1103C063}" name="中签价" totalsRowLabel="整体中签率：" dataDxfId="29"/>
    <tableColumn id="8" xr3:uid="{0A82DF6C-51D3-4CD0-ACFE-CACAD34A3D65}" name="卖出价" totalsRowFunction="custom" dataDxfId="28" totalsRowDxfId="27">
      <totalsRowFormula>Table2[[#Totals],[中签数]]/Table2[[#Totals],[配签数]]</totalsRowFormula>
    </tableColumn>
    <tableColumn id="9" xr3:uid="{16D2BAA4-4823-4C9F-B12B-F1E6CE9F1E22}" name="交易费用" dataDxfId="26"/>
    <tableColumn id="6" xr3:uid="{289E4D53-D11A-440C-A0CF-CDDA47B7709A}" name="费用合计" totalsRowFunction="sum" dataDxfId="25" totalsRowDxfId="24">
      <calculatedColumnFormula>Table2[[#This Row],[打新费用]]+Table2[[#This Row],[交易费用]]</calculatedColumnFormula>
    </tableColumn>
    <tableColumn id="20" xr3:uid="{0C5FA036-0376-4C5F-9408-91C5FF79CBCC}" name="收益额" dataDxfId="23">
      <calculatedColumnFormula>((Table2[[#This Row],[卖出价]]-Table2[[#This Row],[中签价]])*Table2[[#This Row],[中签数]]-Table2[[#This Row],[费用合计]])</calculatedColumnFormula>
    </tableColumn>
    <tableColumn id="10" xr3:uid="{03CC6596-8EE4-47B9-BF9F-AEB863743657}" name="单次收益率" dataDxfId="22">
      <calculatedColumnFormula>IFERROR(Table2[[#This Row],[收益额]]/Table2[[#This Row],[打新本金]],0)</calculatedColumnFormula>
    </tableColumn>
    <tableColumn id="3" xr3:uid="{68B631D4-ADDB-4D0F-A582-1A21E6106778}" name="结算系数" dataDxfId="21"/>
    <tableColumn id="11" xr3:uid="{39598A7F-B3DA-4ADA-AD09-B6675C654B4E}" name="张恺霖_x000a_投资本金" totalsRowLabel=" 张恺霖总收益 " dataDxfId="20" totalsRowDxfId="19"/>
    <tableColumn id="23" xr3:uid="{DE0C21FE-79A2-400B-A15F-850333F0EEC8}" name="张恺霖_x000a_投资收益" totalsRowFunction="sum" dataDxfId="18" totalsRowDxfId="17">
      <calculatedColumnFormula>Table2[[#This Row],[张恺霖
投资本金]]*Table2[[#This Row],[单次收益率]]*Table2[[#This Row],[结算系数]]</calculatedColumnFormula>
    </tableColumn>
    <tableColumn id="12" xr3:uid="{8B916A6F-75F3-4E54-A10C-5A39A48535B3}" name="张恺霖_x000a_投资返还" dataDxfId="16" totalsRowDxfId="15">
      <calculatedColumnFormula>Table2[[#This Row],[张恺霖
投资本金]]+Table2[[#This Row],[张恺霖
投资收益]]</calculatedColumnFormula>
    </tableColumn>
    <tableColumn id="13" xr3:uid="{52B0D2CB-7BBD-4BE1-836C-D3CD2967FA21}" name="张忻霖_x000a_投资本金" totalsRowLabel=" 张忻霖总收益 " dataDxfId="14" totalsRowDxfId="13"/>
    <tableColumn id="24" xr3:uid="{9967EB3F-8226-4D05-B239-9172CB960346}" name="张忻霖_x000a_投资收益" totalsRowFunction="sum" dataDxfId="12" totalsRowDxfId="11">
      <calculatedColumnFormula>Table2[[#This Row],[张忻霖
投资本金]]*Table2[[#This Row],[单次收益率]]*Table2[[#This Row],[结算系数]]</calculatedColumnFormula>
    </tableColumn>
    <tableColumn id="14" xr3:uid="{2014BAF3-3066-490C-BDB3-DFA6F652E87C}" name="张忻霖_x000a_投资返还" dataDxfId="10" totalsRowDxfId="9">
      <calculatedColumnFormula>Table2[[#This Row],[张忻霖
投资本金]]+Table2[[#This Row],[张忻霖
投资收益]]</calculatedColumnFormula>
    </tableColumn>
    <tableColumn id="17" xr3:uid="{4CDC8411-C48F-4CBE-811E-DF07F84ACE32}" name="汇率" dataDxfId="8">
      <calculatedColumnFormula array="1">_xlfn.SWITCH(Table2[[#This Row],[市场]],"HK",1,"US",7.77,"SG",6,1)</calculatedColumnFormula>
    </tableColumn>
    <tableColumn id="19" xr3:uid="{32BAFFAD-7618-434A-BA63-ABC373953C15}" name="港币_x000a_保证金折算" dataDxfId="7" totalsRowDxfId="6">
      <calculatedColumnFormula>Table2[[#This Row],[汇率]]*Table2[[#This Row],[打新本金]]</calculatedColumnFormula>
    </tableColumn>
    <tableColumn id="26" xr3:uid="{914BA1D1-7F12-4AEB-8327-A0E45962D114}" name="港币_x000a_总费用支出" totalsRowFunction="sum" dataDxfId="5" totalsRowDxfId="4">
      <calculatedColumnFormula>Table2[[#This Row],[费用合计]]*Table2[[#This Row],[汇率]]</calculatedColumnFormula>
    </tableColumn>
    <tableColumn id="22" xr3:uid="{B420855F-3954-4CE7-ABBD-D2A550D3363E}" name="港币_x000a_收益额折算" totalsRowFunction="sum" dataDxfId="3" totalsRowDxfId="2">
      <calculatedColumnFormula>Table2[[#This Row],[汇率]]*Table2[[#This Row],[收益额]]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0E26-2635-415F-8EC9-4162FA297213}">
  <dimension ref="A1:Y117"/>
  <sheetViews>
    <sheetView tabSelected="1" workbookViewId="0">
      <pane xSplit="2" ySplit="1" topLeftCell="G76" activePane="bottomRight" state="frozen"/>
      <selection pane="topRight" activeCell="C1" sqref="C1"/>
      <selection pane="bottomLeft" activeCell="A2" sqref="A2"/>
      <selection pane="bottomRight" activeCell="S93" sqref="S93"/>
    </sheetView>
  </sheetViews>
  <sheetFormatPr defaultRowHeight="14.6" x14ac:dyDescent="0.4"/>
  <cols>
    <col min="1" max="1" width="17.69140625" bestFit="1" customWidth="1"/>
    <col min="2" max="2" width="7.15234375" bestFit="1" customWidth="1"/>
    <col min="3" max="3" width="16.765625" bestFit="1" customWidth="1"/>
    <col min="4" max="4" width="9" bestFit="1" customWidth="1"/>
    <col min="5" max="5" width="15.23046875" bestFit="1" customWidth="1"/>
    <col min="6" max="6" width="9" bestFit="1" customWidth="1"/>
    <col min="7" max="9" width="13.07421875" bestFit="1" customWidth="1"/>
    <col min="10" max="10" width="11.69140625" bestFit="1" customWidth="1"/>
    <col min="11" max="11" width="14.765625" bestFit="1" customWidth="1"/>
    <col min="12" max="12" width="13.07421875" bestFit="1" customWidth="1"/>
    <col min="13" max="13" width="11" bestFit="1" customWidth="1"/>
    <col min="14" max="14" width="11.07421875" bestFit="1" customWidth="1"/>
    <col min="15" max="15" width="25.15234375" bestFit="1" customWidth="1"/>
    <col min="16" max="17" width="11.07421875" bestFit="1" customWidth="1"/>
    <col min="18" max="18" width="25.15234375" bestFit="1" customWidth="1"/>
    <col min="19" max="19" width="11.07421875" bestFit="1" customWidth="1"/>
    <col min="20" max="20" width="7.07421875" bestFit="1" customWidth="1"/>
    <col min="21" max="21" width="25.15234375" bestFit="1" customWidth="1"/>
    <col min="22" max="22" width="15.23046875" bestFit="1" customWidth="1"/>
    <col min="23" max="23" width="15.921875" bestFit="1" customWidth="1"/>
    <col min="24" max="25" width="10.07421875" bestFit="1" customWidth="1"/>
  </cols>
  <sheetData>
    <row r="1" spans="1:25" ht="29.15" x14ac:dyDescent="0.4">
      <c r="A1" t="s">
        <v>0</v>
      </c>
      <c r="B1" t="s">
        <v>14</v>
      </c>
      <c r="C1" t="s">
        <v>5</v>
      </c>
      <c r="D1" t="s">
        <v>3</v>
      </c>
      <c r="E1" t="s">
        <v>30</v>
      </c>
      <c r="F1" t="s">
        <v>2</v>
      </c>
      <c r="G1" t="s">
        <v>7</v>
      </c>
      <c r="H1" t="s">
        <v>4</v>
      </c>
      <c r="I1" t="s">
        <v>6</v>
      </c>
      <c r="J1" t="s">
        <v>31</v>
      </c>
      <c r="K1" t="s">
        <v>15</v>
      </c>
      <c r="L1" t="s">
        <v>46</v>
      </c>
      <c r="M1" t="s">
        <v>125</v>
      </c>
      <c r="N1" s="28" t="s">
        <v>97</v>
      </c>
      <c r="O1" s="28" t="s">
        <v>98</v>
      </c>
      <c r="P1" s="28" t="s">
        <v>99</v>
      </c>
      <c r="Q1" s="28" t="s">
        <v>100</v>
      </c>
      <c r="R1" s="28" t="s">
        <v>101</v>
      </c>
      <c r="S1" s="28" t="s">
        <v>102</v>
      </c>
      <c r="T1" t="s">
        <v>13</v>
      </c>
      <c r="U1" s="28" t="s">
        <v>103</v>
      </c>
      <c r="V1" s="28" t="s">
        <v>104</v>
      </c>
      <c r="W1" s="28" t="s">
        <v>105</v>
      </c>
      <c r="Y1" t="s">
        <v>138</v>
      </c>
    </row>
    <row r="2" spans="1:25" x14ac:dyDescent="0.4">
      <c r="A2" t="s">
        <v>45</v>
      </c>
      <c r="B2" t="s">
        <v>16</v>
      </c>
      <c r="C2" s="3">
        <v>61362.66</v>
      </c>
      <c r="D2">
        <v>15000</v>
      </c>
      <c r="E2" s="3">
        <v>304.22000000000003</v>
      </c>
      <c r="F2">
        <v>100</v>
      </c>
      <c r="G2" s="3">
        <v>202.5</v>
      </c>
      <c r="H2" s="3">
        <v>288.8</v>
      </c>
      <c r="I2" s="3">
        <v>56.83</v>
      </c>
      <c r="J2" s="3">
        <f>Table2[[#This Row],[打新费用]]+Table2[[#This Row],[交易费用]]</f>
        <v>361.05</v>
      </c>
      <c r="K2" s="3">
        <f>((Table2[[#This Row],[卖出价]]-Table2[[#This Row],[中签价]])*Table2[[#This Row],[中签数]]-Table2[[#This Row],[费用合计]])</f>
        <v>8268.9500000000025</v>
      </c>
      <c r="L2" s="5">
        <f>IFERROR(Table2[[#This Row],[收益额]]/Table2[[#This Row],[打新本金]],0)</f>
        <v>0.13475540336745509</v>
      </c>
      <c r="M2" s="32">
        <v>1</v>
      </c>
      <c r="N2" s="2"/>
      <c r="O2" s="2">
        <f>Table2[[#This Row],[张恺霖
投资本金]]*Table2[[#This Row],[单次收益率]]*Table2[[#This Row],[结算系数]]</f>
        <v>0</v>
      </c>
      <c r="P2" s="2">
        <f>Table2[[#This Row],[张恺霖
投资本金]]+Table2[[#This Row],[张恺霖
投资收益]]</f>
        <v>0</v>
      </c>
      <c r="Q2" s="2"/>
      <c r="R2" s="2">
        <f>Table2[[#This Row],[张忻霖
投资本金]]*Table2[[#This Row],[单次收益率]]*Table2[[#This Row],[结算系数]]</f>
        <v>0</v>
      </c>
      <c r="S2" s="2">
        <f>Table2[[#This Row],[张忻霖
投资本金]]+Table2[[#This Row],[张忻霖
投资收益]]</f>
        <v>0</v>
      </c>
      <c r="T2" cm="1">
        <f t="array" ref="T2">_xlfn.SWITCH(Table2[[#This Row],[市场]],"HK",1,"US",7.77,"SG",6,1)</f>
        <v>1</v>
      </c>
      <c r="U2" s="3">
        <f>Table2[[#This Row],[汇率]]*Table2[[#This Row],[打新本金]]</f>
        <v>61362.66</v>
      </c>
      <c r="V2" s="3">
        <f>Table2[[#This Row],[费用合计]]*Table2[[#This Row],[汇率]]</f>
        <v>361.05</v>
      </c>
      <c r="W2" s="3">
        <f>Table2[[#This Row],[汇率]]*Table2[[#This Row],[收益额]]</f>
        <v>8268.9500000000025</v>
      </c>
      <c r="X2" s="27">
        <v>45709</v>
      </c>
      <c r="Y2" s="27">
        <v>45709</v>
      </c>
    </row>
    <row r="3" spans="1:25" x14ac:dyDescent="0.4">
      <c r="A3" t="s">
        <v>44</v>
      </c>
      <c r="B3" t="s">
        <v>17</v>
      </c>
      <c r="C3" s="1">
        <v>29140.799999999999</v>
      </c>
      <c r="D3">
        <v>1401</v>
      </c>
      <c r="E3" s="1">
        <v>0</v>
      </c>
      <c r="F3">
        <v>21</v>
      </c>
      <c r="G3" s="1">
        <v>28</v>
      </c>
      <c r="H3" s="1">
        <v>31.45</v>
      </c>
      <c r="I3" s="1">
        <v>3</v>
      </c>
      <c r="J3" s="3">
        <f>Table2[[#This Row],[打新费用]]+Table2[[#This Row],[交易费用]]</f>
        <v>3</v>
      </c>
      <c r="K3" s="1">
        <f>((Table2[[#This Row],[卖出价]]-Table2[[#This Row],[中签价]])*Table2[[#This Row],[中签数]]-Table2[[#This Row],[费用合计]])</f>
        <v>69.449999999999989</v>
      </c>
      <c r="L3" s="5">
        <f>IFERROR(Table2[[#This Row],[收益额]]/Table2[[#This Row],[打新本金]],0)</f>
        <v>2.3832564651622462E-3</v>
      </c>
      <c r="M3" s="32">
        <v>1</v>
      </c>
      <c r="N3" s="2"/>
      <c r="O3" s="2">
        <f>Table2[[#This Row],[张恺霖
投资本金]]*Table2[[#This Row],[单次收益率]]*Table2[[#This Row],[结算系数]]</f>
        <v>0</v>
      </c>
      <c r="P3" s="2">
        <f>Table2[[#This Row],[张恺霖
投资本金]]+Table2[[#This Row],[张恺霖
投资收益]]</f>
        <v>0</v>
      </c>
      <c r="Q3" s="2"/>
      <c r="R3" s="2">
        <f>Table2[[#This Row],[张忻霖
投资本金]]*Table2[[#This Row],[单次收益率]]*Table2[[#This Row],[结算系数]]</f>
        <v>0</v>
      </c>
      <c r="S3" s="2">
        <f>Table2[[#This Row],[张忻霖
投资本金]]+Table2[[#This Row],[张忻霖
投资收益]]</f>
        <v>0</v>
      </c>
      <c r="T3" cm="1">
        <f t="array" ref="T3">_xlfn.SWITCH(Table2[[#This Row],[市场]],"HK",1,"US",7.77,"SG",6,1)</f>
        <v>7.77</v>
      </c>
      <c r="U3" s="3">
        <f>Table2[[#This Row],[汇率]]*Table2[[#This Row],[打新本金]]</f>
        <v>226424.01599999997</v>
      </c>
      <c r="V3" s="3">
        <f>Table2[[#This Row],[费用合计]]*Table2[[#This Row],[汇率]]</f>
        <v>23.31</v>
      </c>
      <c r="W3" s="3">
        <f>Table2[[#This Row],[汇率]]*Table2[[#This Row],[收益额]]</f>
        <v>539.62649999999985</v>
      </c>
    </row>
    <row r="4" spans="1:25" x14ac:dyDescent="0.4">
      <c r="A4" t="s">
        <v>43</v>
      </c>
      <c r="B4" t="s">
        <v>16</v>
      </c>
      <c r="C4" s="3">
        <v>3427.82</v>
      </c>
      <c r="D4">
        <v>300</v>
      </c>
      <c r="E4" s="3">
        <v>100</v>
      </c>
      <c r="F4">
        <v>0</v>
      </c>
      <c r="G4" s="3"/>
      <c r="H4" s="3"/>
      <c r="I4" s="3"/>
      <c r="J4" s="3">
        <f>Table2[[#This Row],[打新费用]]+Table2[[#This Row],[交易费用]]</f>
        <v>100</v>
      </c>
      <c r="K4" s="3">
        <f>((Table2[[#This Row],[卖出价]]-Table2[[#This Row],[中签价]])*Table2[[#This Row],[中签数]]-Table2[[#This Row],[费用合计]])</f>
        <v>-100</v>
      </c>
      <c r="L4" s="5">
        <f>IFERROR(Table2[[#This Row],[收益额]]/Table2[[#This Row],[打新本金]],0)</f>
        <v>-2.9173060429077372E-2</v>
      </c>
      <c r="M4" s="32">
        <v>1</v>
      </c>
      <c r="N4" s="2"/>
      <c r="O4" s="2">
        <f>Table2[[#This Row],[张恺霖
投资本金]]*Table2[[#This Row],[单次收益率]]*Table2[[#This Row],[结算系数]]</f>
        <v>0</v>
      </c>
      <c r="P4" s="2">
        <f>Table2[[#This Row],[张恺霖
投资本金]]+Table2[[#This Row],[张恺霖
投资收益]]</f>
        <v>0</v>
      </c>
      <c r="Q4" s="2"/>
      <c r="R4" s="2">
        <f>Table2[[#This Row],[张忻霖
投资本金]]*Table2[[#This Row],[单次收益率]]*Table2[[#This Row],[结算系数]]</f>
        <v>0</v>
      </c>
      <c r="S4" s="2">
        <f>Table2[[#This Row],[张忻霖
投资本金]]+Table2[[#This Row],[张忻霖
投资收益]]</f>
        <v>0</v>
      </c>
      <c r="T4" cm="1">
        <f t="array" ref="T4">_xlfn.SWITCH(Table2[[#This Row],[市场]],"HK",1,"US",7.77,"SG",6,1)</f>
        <v>1</v>
      </c>
      <c r="U4" s="3">
        <f>Table2[[#This Row],[汇率]]*Table2[[#This Row],[打新本金]]</f>
        <v>3427.82</v>
      </c>
      <c r="V4" s="3">
        <f>Table2[[#This Row],[费用合计]]*Table2[[#This Row],[汇率]]</f>
        <v>100</v>
      </c>
      <c r="W4" s="3">
        <f>Table2[[#This Row],[汇率]]*Table2[[#This Row],[收益额]]</f>
        <v>-100</v>
      </c>
    </row>
    <row r="5" spans="1:25" x14ac:dyDescent="0.4">
      <c r="A5" t="s">
        <v>42</v>
      </c>
      <c r="B5" t="s">
        <v>16</v>
      </c>
      <c r="C5" s="3">
        <v>239087.12</v>
      </c>
      <c r="D5">
        <v>9000</v>
      </c>
      <c r="E5" s="3">
        <v>365.24</v>
      </c>
      <c r="F5">
        <v>100</v>
      </c>
      <c r="G5" s="3">
        <v>263</v>
      </c>
      <c r="H5" s="3">
        <v>297.8</v>
      </c>
      <c r="I5" s="3">
        <v>58.16</v>
      </c>
      <c r="J5" s="3">
        <f>Table2[[#This Row],[打新费用]]+Table2[[#This Row],[交易费用]]</f>
        <v>423.4</v>
      </c>
      <c r="K5" s="3">
        <f>((Table2[[#This Row],[卖出价]]-Table2[[#This Row],[中签价]])*Table2[[#This Row],[中签数]]-Table2[[#This Row],[费用合计]])</f>
        <v>3056.6000000000008</v>
      </c>
      <c r="L5" s="5">
        <f>IFERROR(Table2[[#This Row],[收益额]]/Table2[[#This Row],[打新本金]],0)</f>
        <v>1.2784461162106938E-2</v>
      </c>
      <c r="M5" s="32">
        <v>1</v>
      </c>
      <c r="N5" s="2"/>
      <c r="O5" s="2">
        <f>Table2[[#This Row],[张恺霖
投资本金]]*Table2[[#This Row],[单次收益率]]*Table2[[#This Row],[结算系数]]</f>
        <v>0</v>
      </c>
      <c r="P5" s="2">
        <f>Table2[[#This Row],[张恺霖
投资本金]]+Table2[[#This Row],[张恺霖
投资收益]]</f>
        <v>0</v>
      </c>
      <c r="Q5" s="2"/>
      <c r="R5" s="2">
        <f>Table2[[#This Row],[张忻霖
投资本金]]*Table2[[#This Row],[单次收益率]]*Table2[[#This Row],[结算系数]]</f>
        <v>0</v>
      </c>
      <c r="S5" s="2">
        <f>Table2[[#This Row],[张忻霖
投资本金]]+Table2[[#This Row],[张忻霖
投资收益]]</f>
        <v>0</v>
      </c>
      <c r="T5" cm="1">
        <f t="array" ref="T5">_xlfn.SWITCH(Table2[[#This Row],[市场]],"HK",1,"US",7.77,"SG",6,1)</f>
        <v>1</v>
      </c>
      <c r="U5" s="3">
        <f>Table2[[#This Row],[汇率]]*Table2[[#This Row],[打新本金]]</f>
        <v>239087.12</v>
      </c>
      <c r="V5" s="3">
        <f>Table2[[#This Row],[费用合计]]*Table2[[#This Row],[汇率]]</f>
        <v>423.4</v>
      </c>
      <c r="W5" s="3">
        <f>Table2[[#This Row],[汇率]]*Table2[[#This Row],[收益额]]</f>
        <v>3056.6000000000008</v>
      </c>
    </row>
    <row r="6" spans="1:25" x14ac:dyDescent="0.4">
      <c r="A6" t="s">
        <v>41</v>
      </c>
      <c r="B6" t="s">
        <v>16</v>
      </c>
      <c r="C6" s="3">
        <v>222471.22</v>
      </c>
      <c r="D6">
        <v>50000</v>
      </c>
      <c r="E6" s="3">
        <v>277.7</v>
      </c>
      <c r="F6">
        <v>400</v>
      </c>
      <c r="G6" s="3">
        <v>44.05</v>
      </c>
      <c r="H6" s="3">
        <v>53.8</v>
      </c>
      <c r="I6" s="3">
        <v>47.07</v>
      </c>
      <c r="J6" s="3">
        <f>Table2[[#This Row],[打新费用]]+Table2[[#This Row],[交易费用]]</f>
        <v>324.77</v>
      </c>
      <c r="K6" s="3">
        <f>((Table2[[#This Row],[卖出价]]-Table2[[#This Row],[中签价]])*Table2[[#This Row],[中签数]]-Table2[[#This Row],[费用合计]])</f>
        <v>3575.23</v>
      </c>
      <c r="L6" s="5">
        <f>IFERROR(Table2[[#This Row],[收益额]]/Table2[[#This Row],[打新本金]],0)</f>
        <v>1.607052813393121E-2</v>
      </c>
      <c r="M6" s="32">
        <v>1</v>
      </c>
      <c r="N6" s="2"/>
      <c r="O6" s="2">
        <f>Table2[[#This Row],[张恺霖
投资本金]]*Table2[[#This Row],[单次收益率]]*Table2[[#This Row],[结算系数]]</f>
        <v>0</v>
      </c>
      <c r="P6" s="2">
        <f>Table2[[#This Row],[张恺霖
投资本金]]+Table2[[#This Row],[张恺霖
投资收益]]</f>
        <v>0</v>
      </c>
      <c r="Q6" s="2"/>
      <c r="R6" s="2">
        <f>Table2[[#This Row],[张忻霖
投资本金]]*Table2[[#This Row],[单次收益率]]*Table2[[#This Row],[结算系数]]</f>
        <v>0</v>
      </c>
      <c r="S6" s="2">
        <f>Table2[[#This Row],[张忻霖
投资本金]]+Table2[[#This Row],[张忻霖
投资收益]]</f>
        <v>0</v>
      </c>
      <c r="T6" cm="1">
        <f t="array" ref="T6">_xlfn.SWITCH(Table2[[#This Row],[市场]],"HK",1,"US",7.77,"SG",6,1)</f>
        <v>1</v>
      </c>
      <c r="U6" s="3">
        <f>Table2[[#This Row],[汇率]]*Table2[[#This Row],[打新本金]]</f>
        <v>222471.22</v>
      </c>
      <c r="V6" s="3">
        <f>Table2[[#This Row],[费用合计]]*Table2[[#This Row],[汇率]]</f>
        <v>324.77</v>
      </c>
      <c r="W6" s="3">
        <f>Table2[[#This Row],[汇率]]*Table2[[#This Row],[收益额]]</f>
        <v>3575.23</v>
      </c>
    </row>
    <row r="7" spans="1:25" x14ac:dyDescent="0.4">
      <c r="A7" t="s">
        <v>40</v>
      </c>
      <c r="B7" t="s">
        <v>16</v>
      </c>
      <c r="C7" s="3">
        <v>256662.6</v>
      </c>
      <c r="D7">
        <v>70000</v>
      </c>
      <c r="E7" s="3">
        <v>246.43</v>
      </c>
      <c r="F7">
        <v>400</v>
      </c>
      <c r="G7" s="3">
        <v>36.299999999999997</v>
      </c>
      <c r="H7" s="3">
        <v>36.6</v>
      </c>
      <c r="I7" s="3">
        <v>36.11</v>
      </c>
      <c r="J7" s="3">
        <f>Table2[[#This Row],[打新费用]]+Table2[[#This Row],[交易费用]]</f>
        <v>282.54000000000002</v>
      </c>
      <c r="K7" s="3">
        <f>((Table2[[#This Row],[卖出价]]-Table2[[#This Row],[中签价]])*Table2[[#This Row],[中签数]]-Table2[[#This Row],[费用合计]])</f>
        <v>-162.53999999999832</v>
      </c>
      <c r="L7" s="5">
        <f>IFERROR(Table2[[#This Row],[收益额]]/Table2[[#This Row],[打新本金]],0)</f>
        <v>-6.3328276110348101E-4</v>
      </c>
      <c r="M7" s="32">
        <v>1</v>
      </c>
      <c r="N7" s="2"/>
      <c r="O7" s="2">
        <f>Table2[[#This Row],[张恺霖
投资本金]]*Table2[[#This Row],[单次收益率]]*Table2[[#This Row],[结算系数]]</f>
        <v>0</v>
      </c>
      <c r="P7" s="2">
        <f>Table2[[#This Row],[张恺霖
投资本金]]+Table2[[#This Row],[张恺霖
投资收益]]</f>
        <v>0</v>
      </c>
      <c r="Q7" s="2"/>
      <c r="R7" s="2">
        <f>Table2[[#This Row],[张忻霖
投资本金]]*Table2[[#This Row],[单次收益率]]*Table2[[#This Row],[结算系数]]</f>
        <v>0</v>
      </c>
      <c r="S7" s="2">
        <f>Table2[[#This Row],[张忻霖
投资本金]]+Table2[[#This Row],[张忻霖
投资收益]]</f>
        <v>0</v>
      </c>
      <c r="T7" cm="1">
        <f t="array" ref="T7">_xlfn.SWITCH(Table2[[#This Row],[市场]],"HK",1,"US",7.77,"SG",6,1)</f>
        <v>1</v>
      </c>
      <c r="U7" s="3">
        <f>Table2[[#This Row],[汇率]]*Table2[[#This Row],[打新本金]]</f>
        <v>256662.6</v>
      </c>
      <c r="V7" s="3">
        <f>Table2[[#This Row],[费用合计]]*Table2[[#This Row],[汇率]]</f>
        <v>282.54000000000002</v>
      </c>
      <c r="W7" s="3">
        <f>Table2[[#This Row],[汇率]]*Table2[[#This Row],[收益额]]</f>
        <v>-162.53999999999832</v>
      </c>
    </row>
    <row r="8" spans="1:25" x14ac:dyDescent="0.4">
      <c r="A8" t="s">
        <v>39</v>
      </c>
      <c r="B8" t="s">
        <v>16</v>
      </c>
      <c r="C8" s="3">
        <v>338.38</v>
      </c>
      <c r="D8">
        <v>1000</v>
      </c>
      <c r="E8" s="3">
        <v>100</v>
      </c>
      <c r="F8">
        <v>0</v>
      </c>
      <c r="G8" s="3"/>
      <c r="H8" s="3"/>
      <c r="I8" s="3"/>
      <c r="J8" s="3">
        <f>Table2[[#This Row],[打新费用]]+Table2[[#This Row],[交易费用]]</f>
        <v>100</v>
      </c>
      <c r="K8" s="3">
        <f>((Table2[[#This Row],[卖出价]]-Table2[[#This Row],[中签价]])*Table2[[#This Row],[中签数]]-Table2[[#This Row],[费用合计]])</f>
        <v>-100</v>
      </c>
      <c r="L8" s="5">
        <f>IFERROR(Table2[[#This Row],[收益额]]/Table2[[#This Row],[打新本金]],0)</f>
        <v>-0.29552574029197942</v>
      </c>
      <c r="M8" s="32">
        <v>1</v>
      </c>
      <c r="N8" s="2"/>
      <c r="O8" s="2">
        <f>Table2[[#This Row],[张恺霖
投资本金]]*Table2[[#This Row],[单次收益率]]*Table2[[#This Row],[结算系数]]</f>
        <v>0</v>
      </c>
      <c r="P8" s="2">
        <f>Table2[[#This Row],[张恺霖
投资本金]]+Table2[[#This Row],[张恺霖
投资收益]]</f>
        <v>0</v>
      </c>
      <c r="Q8" s="2"/>
      <c r="R8" s="2">
        <f>Table2[[#This Row],[张忻霖
投资本金]]*Table2[[#This Row],[单次收益率]]*Table2[[#This Row],[结算系数]]</f>
        <v>0</v>
      </c>
      <c r="S8" s="2">
        <f>Table2[[#This Row],[张忻霖
投资本金]]+Table2[[#This Row],[张忻霖
投资收益]]</f>
        <v>0</v>
      </c>
      <c r="T8" cm="1">
        <f t="array" ref="T8">_xlfn.SWITCH(Table2[[#This Row],[市场]],"HK",1,"US",7.77,"SG",6,1)</f>
        <v>1</v>
      </c>
      <c r="U8" s="3">
        <f>Table2[[#This Row],[汇率]]*Table2[[#This Row],[打新本金]]</f>
        <v>338.38</v>
      </c>
      <c r="V8" s="3">
        <f>Table2[[#This Row],[费用合计]]*Table2[[#This Row],[汇率]]</f>
        <v>100</v>
      </c>
      <c r="W8" s="3">
        <f>Table2[[#This Row],[汇率]]*Table2[[#This Row],[收益额]]</f>
        <v>-100</v>
      </c>
    </row>
    <row r="9" spans="1:25" x14ac:dyDescent="0.4">
      <c r="A9" t="s">
        <v>38</v>
      </c>
      <c r="B9" t="s">
        <v>16</v>
      </c>
      <c r="C9" s="3">
        <v>2424.1999999999998</v>
      </c>
      <c r="D9">
        <v>1000</v>
      </c>
      <c r="E9" s="3">
        <v>100</v>
      </c>
      <c r="F9">
        <v>0</v>
      </c>
      <c r="G9" s="3"/>
      <c r="H9" s="3"/>
      <c r="I9" s="3"/>
      <c r="J9" s="3">
        <f>Table2[[#This Row],[打新费用]]+Table2[[#This Row],[交易费用]]</f>
        <v>100</v>
      </c>
      <c r="K9" s="3">
        <f>((Table2[[#This Row],[卖出价]]-Table2[[#This Row],[中签价]])*Table2[[#This Row],[中签数]]-Table2[[#This Row],[费用合计]])</f>
        <v>-100</v>
      </c>
      <c r="L9" s="5">
        <f>IFERROR(Table2[[#This Row],[收益额]]/Table2[[#This Row],[打新本金]],0)</f>
        <v>-4.1250721887633034E-2</v>
      </c>
      <c r="M9" s="32">
        <v>1</v>
      </c>
      <c r="N9" s="2"/>
      <c r="O9" s="2">
        <f>Table2[[#This Row],[张恺霖
投资本金]]*Table2[[#This Row],[单次收益率]]*Table2[[#This Row],[结算系数]]</f>
        <v>0</v>
      </c>
      <c r="P9" s="2">
        <f>Table2[[#This Row],[张恺霖
投资本金]]+Table2[[#This Row],[张恺霖
投资收益]]</f>
        <v>0</v>
      </c>
      <c r="Q9" s="2"/>
      <c r="R9" s="2">
        <f>Table2[[#This Row],[张忻霖
投资本金]]*Table2[[#This Row],[单次收益率]]*Table2[[#This Row],[结算系数]]</f>
        <v>0</v>
      </c>
      <c r="S9" s="2">
        <f>Table2[[#This Row],[张忻霖
投资本金]]+Table2[[#This Row],[张忻霖
投资收益]]</f>
        <v>0</v>
      </c>
      <c r="T9" cm="1">
        <f t="array" ref="T9">_xlfn.SWITCH(Table2[[#This Row],[市场]],"HK",1,"US",7.77,"SG",6,1)</f>
        <v>1</v>
      </c>
      <c r="U9" s="3">
        <f>Table2[[#This Row],[汇率]]*Table2[[#This Row],[打新本金]]</f>
        <v>2424.1999999999998</v>
      </c>
      <c r="V9" s="3">
        <f>Table2[[#This Row],[费用合计]]*Table2[[#This Row],[汇率]]</f>
        <v>100</v>
      </c>
      <c r="W9" s="3">
        <f>Table2[[#This Row],[汇率]]*Table2[[#This Row],[收益额]]</f>
        <v>-100</v>
      </c>
    </row>
    <row r="10" spans="1:25" x14ac:dyDescent="0.4">
      <c r="A10" t="s">
        <v>37</v>
      </c>
      <c r="B10" t="s">
        <v>16</v>
      </c>
      <c r="C10" s="3">
        <v>4236.3</v>
      </c>
      <c r="D10">
        <v>1000</v>
      </c>
      <c r="E10" s="3">
        <v>226.89</v>
      </c>
      <c r="F10">
        <v>300</v>
      </c>
      <c r="G10" s="3">
        <v>41.94</v>
      </c>
      <c r="H10" s="3">
        <v>36.549999999999997</v>
      </c>
      <c r="I10" s="3">
        <v>30.58</v>
      </c>
      <c r="J10" s="3">
        <f>Table2[[#This Row],[打新费用]]+Table2[[#This Row],[交易费用]]</f>
        <v>257.46999999999997</v>
      </c>
      <c r="K10" s="3">
        <f>((Table2[[#This Row],[卖出价]]-Table2[[#This Row],[中签价]])*Table2[[#This Row],[中签数]]-Table2[[#This Row],[费用合计]])</f>
        <v>-1874.4700000000003</v>
      </c>
      <c r="L10" s="5">
        <f>IFERROR(Table2[[#This Row],[收益额]]/Table2[[#This Row],[打新本金]],0)</f>
        <v>-0.44247810589429459</v>
      </c>
      <c r="M10" s="32">
        <v>1</v>
      </c>
      <c r="N10" s="2"/>
      <c r="O10" s="2">
        <f>Table2[[#This Row],[张恺霖
投资本金]]*Table2[[#This Row],[单次收益率]]*Table2[[#This Row],[结算系数]]</f>
        <v>0</v>
      </c>
      <c r="P10" s="2">
        <f>Table2[[#This Row],[张恺霖
投资本金]]+Table2[[#This Row],[张恺霖
投资收益]]</f>
        <v>0</v>
      </c>
      <c r="Q10" s="2"/>
      <c r="R10" s="2">
        <f>Table2[[#This Row],[张忻霖
投资本金]]*Table2[[#This Row],[单次收益率]]*Table2[[#This Row],[结算系数]]</f>
        <v>0</v>
      </c>
      <c r="S10" s="2">
        <f>Table2[[#This Row],[张忻霖
投资本金]]+Table2[[#This Row],[张忻霖
投资收益]]</f>
        <v>0</v>
      </c>
      <c r="T10" cm="1">
        <f t="array" ref="T10">_xlfn.SWITCH(Table2[[#This Row],[市场]],"HK",1,"US",7.77,"SG",6,1)</f>
        <v>1</v>
      </c>
      <c r="U10" s="3">
        <f>Table2[[#This Row],[汇率]]*Table2[[#This Row],[打新本金]]</f>
        <v>4236.3</v>
      </c>
      <c r="V10" s="3">
        <f>Table2[[#This Row],[费用合计]]*Table2[[#This Row],[汇率]]</f>
        <v>257.46999999999997</v>
      </c>
      <c r="W10" s="3">
        <f>Table2[[#This Row],[汇率]]*Table2[[#This Row],[收益额]]</f>
        <v>-1874.4700000000003</v>
      </c>
    </row>
    <row r="11" spans="1:25" x14ac:dyDescent="0.4">
      <c r="A11" t="s">
        <v>36</v>
      </c>
      <c r="B11" t="s">
        <v>16</v>
      </c>
      <c r="C11" s="3">
        <v>5616.07</v>
      </c>
      <c r="D11">
        <v>2000</v>
      </c>
      <c r="E11" s="3">
        <v>156.07</v>
      </c>
      <c r="F11">
        <v>200</v>
      </c>
      <c r="G11" s="3">
        <v>27.8</v>
      </c>
      <c r="H11" s="3">
        <v>43.8</v>
      </c>
      <c r="I11" s="3">
        <v>27.65</v>
      </c>
      <c r="J11" s="3">
        <f>Table2[[#This Row],[打新费用]]+Table2[[#This Row],[交易费用]]</f>
        <v>183.72</v>
      </c>
      <c r="K11" s="3">
        <f>((Table2[[#This Row],[卖出价]]-Table2[[#This Row],[中签价]])*Table2[[#This Row],[中签数]]-Table2[[#This Row],[费用合计]])</f>
        <v>3016.2799999999993</v>
      </c>
      <c r="L11" s="5">
        <f>IFERROR(Table2[[#This Row],[收益额]]/Table2[[#This Row],[打新本金]],0)</f>
        <v>0.53708020021117964</v>
      </c>
      <c r="M11" s="32">
        <v>1</v>
      </c>
      <c r="N11" s="2"/>
      <c r="O11" s="2">
        <f>Table2[[#This Row],[张恺霖
投资本金]]*Table2[[#This Row],[单次收益率]]*Table2[[#This Row],[结算系数]]</f>
        <v>0</v>
      </c>
      <c r="P11" s="2">
        <f>Table2[[#This Row],[张恺霖
投资本金]]+Table2[[#This Row],[张恺霖
投资收益]]</f>
        <v>0</v>
      </c>
      <c r="Q11" s="2"/>
      <c r="R11" s="2">
        <f>Table2[[#This Row],[张忻霖
投资本金]]*Table2[[#This Row],[单次收益率]]*Table2[[#This Row],[结算系数]]</f>
        <v>0</v>
      </c>
      <c r="S11" s="2">
        <f>Table2[[#This Row],[张忻霖
投资本金]]+Table2[[#This Row],[张忻霖
投资收益]]</f>
        <v>0</v>
      </c>
      <c r="T11" cm="1">
        <f t="array" ref="T11">_xlfn.SWITCH(Table2[[#This Row],[市场]],"HK",1,"US",7.77,"SG",6,1)</f>
        <v>1</v>
      </c>
      <c r="U11" s="3">
        <f>Table2[[#This Row],[汇率]]*Table2[[#This Row],[打新本金]]</f>
        <v>5616.07</v>
      </c>
      <c r="V11" s="3">
        <f>Table2[[#This Row],[费用合计]]*Table2[[#This Row],[汇率]]</f>
        <v>183.72</v>
      </c>
      <c r="W11" s="3">
        <f>Table2[[#This Row],[汇率]]*Table2[[#This Row],[收益额]]</f>
        <v>3016.2799999999993</v>
      </c>
    </row>
    <row r="12" spans="1:25" x14ac:dyDescent="0.4">
      <c r="A12" t="s">
        <v>35</v>
      </c>
      <c r="B12" t="s">
        <v>16</v>
      </c>
      <c r="C12" s="3">
        <v>3090.86</v>
      </c>
      <c r="D12">
        <v>1000</v>
      </c>
      <c r="E12" s="3">
        <v>130.86000000000001</v>
      </c>
      <c r="F12">
        <v>100</v>
      </c>
      <c r="G12" s="3">
        <v>30.6</v>
      </c>
      <c r="H12" s="3">
        <v>31</v>
      </c>
      <c r="I12" s="3">
        <v>20.29</v>
      </c>
      <c r="J12" s="3">
        <f>Table2[[#This Row],[打新费用]]+Table2[[#This Row],[交易费用]]</f>
        <v>151.15</v>
      </c>
      <c r="K12" s="3">
        <f>((Table2[[#This Row],[卖出价]]-Table2[[#This Row],[中签价]])*Table2[[#This Row],[中签数]]-Table2[[#This Row],[费用合计]])</f>
        <v>-111.15000000000015</v>
      </c>
      <c r="L12" s="5">
        <f>IFERROR(Table2[[#This Row],[收益额]]/Table2[[#This Row],[打新本金]],0)</f>
        <v>-3.596086526080125E-2</v>
      </c>
      <c r="M12" s="32">
        <v>1</v>
      </c>
      <c r="N12" s="2"/>
      <c r="O12" s="2">
        <f>Table2[[#This Row],[张恺霖
投资本金]]*Table2[[#This Row],[单次收益率]]*Table2[[#This Row],[结算系数]]</f>
        <v>0</v>
      </c>
      <c r="P12" s="2">
        <f>Table2[[#This Row],[张恺霖
投资本金]]+Table2[[#This Row],[张恺霖
投资收益]]</f>
        <v>0</v>
      </c>
      <c r="Q12" s="2"/>
      <c r="R12" s="2">
        <f>Table2[[#This Row],[张忻霖
投资本金]]*Table2[[#This Row],[单次收益率]]*Table2[[#This Row],[结算系数]]</f>
        <v>0</v>
      </c>
      <c r="S12" s="2">
        <f>Table2[[#This Row],[张忻霖
投资本金]]+Table2[[#This Row],[张忻霖
投资收益]]</f>
        <v>0</v>
      </c>
      <c r="T12" cm="1">
        <f t="array" ref="T12">_xlfn.SWITCH(Table2[[#This Row],[市场]],"HK",1,"US",7.77,"SG",6,1)</f>
        <v>1</v>
      </c>
      <c r="U12" s="3">
        <f>Table2[[#This Row],[汇率]]*Table2[[#This Row],[打新本金]]</f>
        <v>3090.86</v>
      </c>
      <c r="V12" s="3">
        <f>Table2[[#This Row],[费用合计]]*Table2[[#This Row],[汇率]]</f>
        <v>151.15</v>
      </c>
      <c r="W12" s="3">
        <f>Table2[[#This Row],[汇率]]*Table2[[#This Row],[收益额]]</f>
        <v>-111.15000000000015</v>
      </c>
    </row>
    <row r="13" spans="1:25" x14ac:dyDescent="0.4">
      <c r="A13" t="s">
        <v>34</v>
      </c>
      <c r="B13" t="s">
        <v>16</v>
      </c>
      <c r="C13" s="3">
        <v>156563.18</v>
      </c>
      <c r="D13">
        <v>100000</v>
      </c>
      <c r="E13" s="3">
        <v>100</v>
      </c>
      <c r="F13">
        <v>0</v>
      </c>
      <c r="G13" s="3"/>
      <c r="H13" s="3"/>
      <c r="I13" s="3"/>
      <c r="J13" s="3">
        <f>Table2[[#This Row],[打新费用]]+Table2[[#This Row],[交易费用]]</f>
        <v>100</v>
      </c>
      <c r="K13" s="3">
        <f>((Table2[[#This Row],[卖出价]]-Table2[[#This Row],[中签价]])*Table2[[#This Row],[中签数]]-Table2[[#This Row],[费用合计]])</f>
        <v>-100</v>
      </c>
      <c r="L13" s="5">
        <f>IFERROR(Table2[[#This Row],[收益额]]/Table2[[#This Row],[打新本金]],0)</f>
        <v>-6.3871978073005422E-4</v>
      </c>
      <c r="M13" s="32">
        <v>1</v>
      </c>
      <c r="N13" s="2"/>
      <c r="O13" s="2">
        <f>Table2[[#This Row],[张恺霖
投资本金]]*Table2[[#This Row],[单次收益率]]*Table2[[#This Row],[结算系数]]</f>
        <v>0</v>
      </c>
      <c r="P13" s="2">
        <f>Table2[[#This Row],[张恺霖
投资本金]]+Table2[[#This Row],[张恺霖
投资收益]]</f>
        <v>0</v>
      </c>
      <c r="Q13" s="2"/>
      <c r="R13" s="2">
        <f>Table2[[#This Row],[张忻霖
投资本金]]*Table2[[#This Row],[单次收益率]]*Table2[[#This Row],[结算系数]]</f>
        <v>0</v>
      </c>
      <c r="S13" s="2">
        <f>Table2[[#This Row],[张忻霖
投资本金]]+Table2[[#This Row],[张忻霖
投资收益]]</f>
        <v>0</v>
      </c>
      <c r="T13" cm="1">
        <f t="array" ref="T13">_xlfn.SWITCH(Table2[[#This Row],[市场]],"HK",1,"US",7.77,"SG",6,1)</f>
        <v>1</v>
      </c>
      <c r="U13" s="3">
        <f>Table2[[#This Row],[汇率]]*Table2[[#This Row],[打新本金]]</f>
        <v>156563.18</v>
      </c>
      <c r="V13" s="3">
        <f>Table2[[#This Row],[费用合计]]*Table2[[#This Row],[汇率]]</f>
        <v>100</v>
      </c>
      <c r="W13" s="3">
        <f>Table2[[#This Row],[汇率]]*Table2[[#This Row],[收益额]]</f>
        <v>-100</v>
      </c>
    </row>
    <row r="14" spans="1:25" x14ac:dyDescent="0.4">
      <c r="A14" t="s">
        <v>33</v>
      </c>
      <c r="B14" t="s">
        <v>17</v>
      </c>
      <c r="C14" s="1">
        <v>16196</v>
      </c>
      <c r="D14">
        <v>4049</v>
      </c>
      <c r="E14" s="1">
        <v>0</v>
      </c>
      <c r="F14">
        <v>100</v>
      </c>
      <c r="G14" s="1">
        <v>4</v>
      </c>
      <c r="H14" s="1">
        <v>5.76</v>
      </c>
      <c r="I14" s="1">
        <v>2.38</v>
      </c>
      <c r="J14" s="3">
        <f>Table2[[#This Row],[打新费用]]+Table2[[#This Row],[交易费用]]</f>
        <v>2.38</v>
      </c>
      <c r="K14" s="1">
        <f>((Table2[[#This Row],[卖出价]]-Table2[[#This Row],[中签价]])*Table2[[#This Row],[中签数]]-Table2[[#This Row],[费用合计]])</f>
        <v>173.61999999999998</v>
      </c>
      <c r="L14" s="5">
        <f>IFERROR(Table2[[#This Row],[收益额]]/Table2[[#This Row],[打新本金]],0)</f>
        <v>1.0719930847122744E-2</v>
      </c>
      <c r="M14" s="32">
        <v>1</v>
      </c>
      <c r="N14" s="2"/>
      <c r="O14" s="2">
        <f>Table2[[#This Row],[张恺霖
投资本金]]*Table2[[#This Row],[单次收益率]]*Table2[[#This Row],[结算系数]]</f>
        <v>0</v>
      </c>
      <c r="P14" s="2">
        <f>Table2[[#This Row],[张恺霖
投资本金]]+Table2[[#This Row],[张恺霖
投资收益]]</f>
        <v>0</v>
      </c>
      <c r="Q14" s="2"/>
      <c r="R14" s="2">
        <f>Table2[[#This Row],[张忻霖
投资本金]]*Table2[[#This Row],[单次收益率]]*Table2[[#This Row],[结算系数]]</f>
        <v>0</v>
      </c>
      <c r="S14" s="2">
        <f>Table2[[#This Row],[张忻霖
投资本金]]+Table2[[#This Row],[张忻霖
投资收益]]</f>
        <v>0</v>
      </c>
      <c r="T14" cm="1">
        <f t="array" ref="T14">_xlfn.SWITCH(Table2[[#This Row],[市场]],"HK",1,"US",7.77,"SG",6,1)</f>
        <v>7.77</v>
      </c>
      <c r="U14" s="3">
        <f>Table2[[#This Row],[汇率]]*Table2[[#This Row],[打新本金]]</f>
        <v>125842.92</v>
      </c>
      <c r="V14" s="3">
        <f>Table2[[#This Row],[费用合计]]*Table2[[#This Row],[汇率]]</f>
        <v>18.492599999999999</v>
      </c>
      <c r="W14" s="3">
        <f>Table2[[#This Row],[汇率]]*Table2[[#This Row],[收益额]]</f>
        <v>1349.0273999999997</v>
      </c>
    </row>
    <row r="15" spans="1:25" x14ac:dyDescent="0.4">
      <c r="A15" t="s">
        <v>32</v>
      </c>
      <c r="B15" t="s">
        <v>16</v>
      </c>
      <c r="C15" s="3">
        <v>188683.88</v>
      </c>
      <c r="D15">
        <v>100000</v>
      </c>
      <c r="E15" s="3">
        <v>100</v>
      </c>
      <c r="F15">
        <v>0</v>
      </c>
      <c r="G15" s="3"/>
      <c r="H15" s="3"/>
      <c r="I15" s="3"/>
      <c r="J15" s="3">
        <f>Table2[[#This Row],[打新费用]]+Table2[[#This Row],[交易费用]]</f>
        <v>100</v>
      </c>
      <c r="K15" s="3">
        <f>((Table2[[#This Row],[卖出价]]-Table2[[#This Row],[中签价]])*Table2[[#This Row],[中签数]]-Table2[[#This Row],[费用合计]])</f>
        <v>-100</v>
      </c>
      <c r="L15" s="5">
        <f>IFERROR(Table2[[#This Row],[收益额]]/Table2[[#This Row],[打新本金]],0)</f>
        <v>-5.2998698139978889E-4</v>
      </c>
      <c r="M15" s="32">
        <v>1</v>
      </c>
      <c r="N15" s="2"/>
      <c r="O15" s="2">
        <f>Table2[[#This Row],[张恺霖
投资本金]]*Table2[[#This Row],[单次收益率]]*Table2[[#This Row],[结算系数]]</f>
        <v>0</v>
      </c>
      <c r="P15" s="2">
        <f>Table2[[#This Row],[张恺霖
投资本金]]+Table2[[#This Row],[张恺霖
投资收益]]</f>
        <v>0</v>
      </c>
      <c r="Q15" s="2"/>
      <c r="R15" s="2">
        <f>Table2[[#This Row],[张忻霖
投资本金]]*Table2[[#This Row],[单次收益率]]*Table2[[#This Row],[结算系数]]</f>
        <v>0</v>
      </c>
      <c r="S15" s="2">
        <f>Table2[[#This Row],[张忻霖
投资本金]]+Table2[[#This Row],[张忻霖
投资收益]]</f>
        <v>0</v>
      </c>
      <c r="T15" cm="1">
        <f t="array" ref="T15">_xlfn.SWITCH(Table2[[#This Row],[市场]],"HK",1,"US",7.77,"SG",6,1)</f>
        <v>1</v>
      </c>
      <c r="U15" s="3">
        <f>Table2[[#This Row],[汇率]]*Table2[[#This Row],[打新本金]]</f>
        <v>188683.88</v>
      </c>
      <c r="V15" s="3">
        <f>Table2[[#This Row],[费用合计]]*Table2[[#This Row],[汇率]]</f>
        <v>100</v>
      </c>
      <c r="W15" s="3">
        <f>Table2[[#This Row],[汇率]]*Table2[[#This Row],[收益额]]</f>
        <v>-100</v>
      </c>
    </row>
    <row r="16" spans="1:25" x14ac:dyDescent="0.4">
      <c r="A16" t="s">
        <v>29</v>
      </c>
      <c r="B16" t="s">
        <v>16</v>
      </c>
      <c r="C16" s="3">
        <v>216158.19</v>
      </c>
      <c r="D16">
        <v>50000</v>
      </c>
      <c r="E16" s="3">
        <v>143.16</v>
      </c>
      <c r="F16">
        <v>100</v>
      </c>
      <c r="G16" s="3">
        <v>42.8</v>
      </c>
      <c r="H16" s="3">
        <v>48</v>
      </c>
      <c r="I16" s="3">
        <v>22</v>
      </c>
      <c r="J16" s="3">
        <f>Table2[[#This Row],[打新费用]]+Table2[[#This Row],[交易费用]]</f>
        <v>165.16</v>
      </c>
      <c r="K16" s="3">
        <f>((Table2[[#This Row],[卖出价]]-Table2[[#This Row],[中签价]])*Table2[[#This Row],[中签数]]-Table2[[#This Row],[费用合计]])</f>
        <v>354.84000000000026</v>
      </c>
      <c r="L16" s="5">
        <f>IFERROR(Table2[[#This Row],[收益额]]/Table2[[#This Row],[打新本金]],0)</f>
        <v>1.6415755516827758E-3</v>
      </c>
      <c r="M16" s="32">
        <v>1</v>
      </c>
      <c r="N16" s="2"/>
      <c r="O16" s="2">
        <f>Table2[[#This Row],[张恺霖
投资本金]]*Table2[[#This Row],[单次收益率]]*Table2[[#This Row],[结算系数]]</f>
        <v>0</v>
      </c>
      <c r="P16" s="2">
        <f>Table2[[#This Row],[张恺霖
投资本金]]+Table2[[#This Row],[张恺霖
投资收益]]</f>
        <v>0</v>
      </c>
      <c r="Q16" s="2"/>
      <c r="R16" s="2">
        <f>Table2[[#This Row],[张忻霖
投资本金]]*Table2[[#This Row],[单次收益率]]*Table2[[#This Row],[结算系数]]</f>
        <v>0</v>
      </c>
      <c r="S16" s="2">
        <f>Table2[[#This Row],[张忻霖
投资本金]]+Table2[[#This Row],[张忻霖
投资收益]]</f>
        <v>0</v>
      </c>
      <c r="T16" cm="1">
        <f t="array" ref="T16">_xlfn.SWITCH(Table2[[#This Row],[市场]],"HK",1,"US",7.77,"SG",6,1)</f>
        <v>1</v>
      </c>
      <c r="U16" s="3">
        <f>Table2[[#This Row],[汇率]]*Table2[[#This Row],[打新本金]]</f>
        <v>216158.19</v>
      </c>
      <c r="V16" s="3">
        <f>Table2[[#This Row],[费用合计]]*Table2[[#This Row],[汇率]]</f>
        <v>165.16</v>
      </c>
      <c r="W16" s="3">
        <f>Table2[[#This Row],[汇率]]*Table2[[#This Row],[收益额]]</f>
        <v>354.84000000000026</v>
      </c>
    </row>
    <row r="17" spans="1:23" x14ac:dyDescent="0.4">
      <c r="A17" t="s">
        <v>28</v>
      </c>
      <c r="B17" t="s">
        <v>16</v>
      </c>
      <c r="C17" s="3">
        <v>146563.32999999999</v>
      </c>
      <c r="D17">
        <v>100000</v>
      </c>
      <c r="E17" s="3">
        <v>100</v>
      </c>
      <c r="F17">
        <v>0</v>
      </c>
      <c r="G17" s="3"/>
      <c r="H17" s="3"/>
      <c r="I17" s="3"/>
      <c r="J17" s="3">
        <f>Table2[[#This Row],[打新费用]]+Table2[[#This Row],[交易费用]]</f>
        <v>100</v>
      </c>
      <c r="K17" s="3">
        <f>((Table2[[#This Row],[卖出价]]-Table2[[#This Row],[中签价]])*Table2[[#This Row],[中签数]]-Table2[[#This Row],[费用合计]])</f>
        <v>-100</v>
      </c>
      <c r="L17" s="5">
        <f>IFERROR(Table2[[#This Row],[收益额]]/Table2[[#This Row],[打新本金]],0)</f>
        <v>-6.8229890791919102E-4</v>
      </c>
      <c r="M17" s="32">
        <v>1</v>
      </c>
      <c r="N17" s="2"/>
      <c r="O17" s="2">
        <f>Table2[[#This Row],[张恺霖
投资本金]]*Table2[[#This Row],[单次收益率]]*Table2[[#This Row],[结算系数]]</f>
        <v>0</v>
      </c>
      <c r="P17" s="2">
        <f>Table2[[#This Row],[张恺霖
投资本金]]+Table2[[#This Row],[张恺霖
投资收益]]</f>
        <v>0</v>
      </c>
      <c r="Q17" s="2"/>
      <c r="R17" s="2">
        <f>Table2[[#This Row],[张忻霖
投资本金]]*Table2[[#This Row],[单次收益率]]*Table2[[#This Row],[结算系数]]</f>
        <v>0</v>
      </c>
      <c r="S17" s="2">
        <f>Table2[[#This Row],[张忻霖
投资本金]]+Table2[[#This Row],[张忻霖
投资收益]]</f>
        <v>0</v>
      </c>
      <c r="T17" cm="1">
        <f t="array" ref="T17">_xlfn.SWITCH(Table2[[#This Row],[市场]],"HK",1,"US",7.77,"SG",6,1)</f>
        <v>1</v>
      </c>
      <c r="U17" s="3">
        <f>Table2[[#This Row],[汇率]]*Table2[[#This Row],[打新本金]]</f>
        <v>146563.32999999999</v>
      </c>
      <c r="V17" s="3">
        <f>Table2[[#This Row],[费用合计]]*Table2[[#This Row],[汇率]]</f>
        <v>100</v>
      </c>
      <c r="W17" s="3">
        <f>Table2[[#This Row],[汇率]]*Table2[[#This Row],[收益额]]</f>
        <v>-100</v>
      </c>
    </row>
    <row r="18" spans="1:23" x14ac:dyDescent="0.4">
      <c r="A18" t="s">
        <v>27</v>
      </c>
      <c r="B18" t="s">
        <v>16</v>
      </c>
      <c r="C18" s="3">
        <v>149997.62</v>
      </c>
      <c r="D18">
        <v>30000</v>
      </c>
      <c r="E18" s="3">
        <v>100</v>
      </c>
      <c r="F18">
        <v>0</v>
      </c>
      <c r="G18" s="3"/>
      <c r="H18" s="3"/>
      <c r="I18" s="3"/>
      <c r="J18" s="3">
        <f>Table2[[#This Row],[打新费用]]+Table2[[#This Row],[交易费用]]</f>
        <v>100</v>
      </c>
      <c r="K18" s="3">
        <f>((Table2[[#This Row],[卖出价]]-Table2[[#This Row],[中签价]])*Table2[[#This Row],[中签数]]-Table2[[#This Row],[费用合计]])</f>
        <v>-100</v>
      </c>
      <c r="L18" s="5">
        <f>IFERROR(Table2[[#This Row],[收益额]]/Table2[[#This Row],[打新本金]],0)</f>
        <v>-6.6667724461228124E-4</v>
      </c>
      <c r="M18" s="32">
        <v>1</v>
      </c>
      <c r="N18" s="2"/>
      <c r="O18" s="2">
        <f>Table2[[#This Row],[张恺霖
投资本金]]*Table2[[#This Row],[单次收益率]]*Table2[[#This Row],[结算系数]]</f>
        <v>0</v>
      </c>
      <c r="P18" s="2">
        <f>Table2[[#This Row],[张恺霖
投资本金]]+Table2[[#This Row],[张恺霖
投资收益]]</f>
        <v>0</v>
      </c>
      <c r="Q18" s="2"/>
      <c r="R18" s="2">
        <f>Table2[[#This Row],[张忻霖
投资本金]]*Table2[[#This Row],[单次收益率]]*Table2[[#This Row],[结算系数]]</f>
        <v>0</v>
      </c>
      <c r="S18" s="2">
        <f>Table2[[#This Row],[张忻霖
投资本金]]+Table2[[#This Row],[张忻霖
投资收益]]</f>
        <v>0</v>
      </c>
      <c r="T18" cm="1">
        <f t="array" ref="T18">_xlfn.SWITCH(Table2[[#This Row],[市场]],"HK",1,"US",7.77,"SG",6,1)</f>
        <v>1</v>
      </c>
      <c r="U18" s="3">
        <f>Table2[[#This Row],[汇率]]*Table2[[#This Row],[打新本金]]</f>
        <v>149997.62</v>
      </c>
      <c r="V18" s="3">
        <f>Table2[[#This Row],[费用合计]]*Table2[[#This Row],[汇率]]</f>
        <v>100</v>
      </c>
      <c r="W18" s="3">
        <f>Table2[[#This Row],[汇率]]*Table2[[#This Row],[收益额]]</f>
        <v>-100</v>
      </c>
    </row>
    <row r="19" spans="1:23" x14ac:dyDescent="0.4">
      <c r="A19" t="s">
        <v>26</v>
      </c>
      <c r="B19" t="s">
        <v>16</v>
      </c>
      <c r="C19" s="3">
        <v>138179.63</v>
      </c>
      <c r="D19">
        <v>6000</v>
      </c>
      <c r="E19" s="3">
        <v>142.91999999999999</v>
      </c>
      <c r="F19">
        <v>20</v>
      </c>
      <c r="G19" s="3">
        <v>212.8</v>
      </c>
      <c r="H19" s="3">
        <v>237</v>
      </c>
      <c r="I19" s="3">
        <v>21.98</v>
      </c>
      <c r="J19" s="3">
        <f>Table2[[#This Row],[打新费用]]+Table2[[#This Row],[交易费用]]</f>
        <v>164.89999999999998</v>
      </c>
      <c r="K19" s="3">
        <f>((Table2[[#This Row],[卖出价]]-Table2[[#This Row],[中签价]])*Table2[[#This Row],[中签数]]-Table2[[#This Row],[费用合计]])</f>
        <v>319.0999999999998</v>
      </c>
      <c r="L19" s="5">
        <f>IFERROR(Table2[[#This Row],[收益额]]/Table2[[#This Row],[打新本金]],0)</f>
        <v>2.3093128849744336E-3</v>
      </c>
      <c r="M19" s="32">
        <v>1</v>
      </c>
      <c r="N19" s="2"/>
      <c r="O19" s="2">
        <f>Table2[[#This Row],[张恺霖
投资本金]]*Table2[[#This Row],[单次收益率]]*Table2[[#This Row],[结算系数]]</f>
        <v>0</v>
      </c>
      <c r="P19" s="2">
        <f>Table2[[#This Row],[张恺霖
投资本金]]+Table2[[#This Row],[张恺霖
投资收益]]</f>
        <v>0</v>
      </c>
      <c r="Q19" s="2"/>
      <c r="R19" s="2">
        <f>Table2[[#This Row],[张忻霖
投资本金]]*Table2[[#This Row],[单次收益率]]*Table2[[#This Row],[结算系数]]</f>
        <v>0</v>
      </c>
      <c r="S19" s="2">
        <f>Table2[[#This Row],[张忻霖
投资本金]]+Table2[[#This Row],[张忻霖
投资收益]]</f>
        <v>0</v>
      </c>
      <c r="T19" cm="1">
        <f t="array" ref="T19">_xlfn.SWITCH(Table2[[#This Row],[市场]],"HK",1,"US",7.77,"SG",6,1)</f>
        <v>1</v>
      </c>
      <c r="U19" s="3">
        <f>Table2[[#This Row],[汇率]]*Table2[[#This Row],[打新本金]]</f>
        <v>138179.63</v>
      </c>
      <c r="V19" s="3">
        <f>Table2[[#This Row],[费用合计]]*Table2[[#This Row],[汇率]]</f>
        <v>164.89999999999998</v>
      </c>
      <c r="W19" s="3">
        <f>Table2[[#This Row],[汇率]]*Table2[[#This Row],[收益额]]</f>
        <v>319.0999999999998</v>
      </c>
    </row>
    <row r="20" spans="1:23" x14ac:dyDescent="0.4">
      <c r="A20" t="s">
        <v>25</v>
      </c>
      <c r="B20" t="s">
        <v>17</v>
      </c>
      <c r="C20" s="1">
        <v>1746</v>
      </c>
      <c r="D20">
        <v>97</v>
      </c>
      <c r="E20" s="1">
        <v>0</v>
      </c>
      <c r="F20">
        <v>12</v>
      </c>
      <c r="G20" s="1">
        <v>25</v>
      </c>
      <c r="H20" s="1">
        <v>30.4</v>
      </c>
      <c r="I20" s="1">
        <v>2.04</v>
      </c>
      <c r="J20" s="1">
        <f>Table2[[#This Row],[打新费用]]+Table2[[#This Row],[交易费用]]</f>
        <v>2.04</v>
      </c>
      <c r="K20" s="1">
        <f>((Table2[[#This Row],[卖出价]]-Table2[[#This Row],[中签价]])*Table2[[#This Row],[中签数]]-Table2[[#This Row],[费用合计]])</f>
        <v>62.759999999999984</v>
      </c>
      <c r="L20" s="5">
        <f>IFERROR(Table2[[#This Row],[收益额]]/Table2[[#This Row],[打新本金]],0)</f>
        <v>3.5945017182130577E-2</v>
      </c>
      <c r="M20" s="32">
        <v>1</v>
      </c>
      <c r="N20" s="2"/>
      <c r="O20" s="2">
        <f>Table2[[#This Row],[张恺霖
投资本金]]*Table2[[#This Row],[单次收益率]]*Table2[[#This Row],[结算系数]]</f>
        <v>0</v>
      </c>
      <c r="P20" s="2">
        <f>Table2[[#This Row],[张恺霖
投资本金]]+Table2[[#This Row],[张恺霖
投资收益]]</f>
        <v>0</v>
      </c>
      <c r="Q20" s="2"/>
      <c r="R20" s="2">
        <f>Table2[[#This Row],[张忻霖
投资本金]]*Table2[[#This Row],[单次收益率]]*Table2[[#This Row],[结算系数]]</f>
        <v>0</v>
      </c>
      <c r="S20" s="2">
        <f>Table2[[#This Row],[张忻霖
投资本金]]+Table2[[#This Row],[张忻霖
投资收益]]</f>
        <v>0</v>
      </c>
      <c r="T20" cm="1">
        <f t="array" ref="T20">_xlfn.SWITCH(Table2[[#This Row],[市场]],"HK",1,"US",7.77,"SG",6,1)</f>
        <v>7.77</v>
      </c>
      <c r="U20" s="3">
        <f>Table2[[#This Row],[汇率]]*Table2[[#This Row],[打新本金]]</f>
        <v>13566.42</v>
      </c>
      <c r="V20" s="3">
        <f>Table2[[#This Row],[费用合计]]*Table2[[#This Row],[汇率]]</f>
        <v>15.8508</v>
      </c>
      <c r="W20" s="3">
        <f>Table2[[#This Row],[汇率]]*Table2[[#This Row],[收益额]]</f>
        <v>487.64519999999987</v>
      </c>
    </row>
    <row r="21" spans="1:23" x14ac:dyDescent="0.4">
      <c r="A21" t="s">
        <v>24</v>
      </c>
      <c r="B21" t="s">
        <v>17</v>
      </c>
      <c r="C21" s="1">
        <v>2016</v>
      </c>
      <c r="D21">
        <v>84</v>
      </c>
      <c r="E21" s="1">
        <v>0</v>
      </c>
      <c r="F21">
        <v>0</v>
      </c>
      <c r="G21" s="1"/>
      <c r="H21" s="1"/>
      <c r="I21" s="1"/>
      <c r="J21" s="3">
        <f>Table2[[#This Row],[打新费用]]+Table2[[#This Row],[交易费用]]</f>
        <v>0</v>
      </c>
      <c r="K21" s="1">
        <f>((Table2[[#This Row],[卖出价]]-Table2[[#This Row],[中签价]])*Table2[[#This Row],[中签数]]-Table2[[#This Row],[费用合计]])</f>
        <v>0</v>
      </c>
      <c r="L21" s="5">
        <f>IFERROR(Table2[[#This Row],[收益额]]/Table2[[#This Row],[打新本金]],0)</f>
        <v>0</v>
      </c>
      <c r="M21" s="32">
        <v>1</v>
      </c>
      <c r="N21" s="2"/>
      <c r="O21" s="2">
        <f>Table2[[#This Row],[张恺霖
投资本金]]*Table2[[#This Row],[单次收益率]]*Table2[[#This Row],[结算系数]]</f>
        <v>0</v>
      </c>
      <c r="P21" s="2">
        <f>Table2[[#This Row],[张恺霖
投资本金]]+Table2[[#This Row],[张恺霖
投资收益]]</f>
        <v>0</v>
      </c>
      <c r="Q21" s="2"/>
      <c r="R21" s="2">
        <f>Table2[[#This Row],[张忻霖
投资本金]]*Table2[[#This Row],[单次收益率]]*Table2[[#This Row],[结算系数]]</f>
        <v>0</v>
      </c>
      <c r="S21" s="2">
        <f>Table2[[#This Row],[张忻霖
投资本金]]+Table2[[#This Row],[张忻霖
投资收益]]</f>
        <v>0</v>
      </c>
      <c r="T21" cm="1">
        <f t="array" ref="T21">_xlfn.SWITCH(Table2[[#This Row],[市场]],"HK",1,"US",7.77,"SG",6,1)</f>
        <v>7.77</v>
      </c>
      <c r="U21" s="3">
        <f>Table2[[#This Row],[汇率]]*Table2[[#This Row],[打新本金]]</f>
        <v>15664.32</v>
      </c>
      <c r="V21" s="3">
        <f>Table2[[#This Row],[费用合计]]*Table2[[#This Row],[汇率]]</f>
        <v>0</v>
      </c>
      <c r="W21" s="3">
        <f>Table2[[#This Row],[汇率]]*Table2[[#This Row],[收益额]]</f>
        <v>0</v>
      </c>
    </row>
    <row r="22" spans="1:23" x14ac:dyDescent="0.4">
      <c r="A22" t="s">
        <v>23</v>
      </c>
      <c r="B22" t="s">
        <v>16</v>
      </c>
      <c r="C22" s="3">
        <v>143836.1</v>
      </c>
      <c r="D22">
        <v>20000</v>
      </c>
      <c r="E22" s="3">
        <v>100</v>
      </c>
      <c r="F22">
        <v>0</v>
      </c>
      <c r="G22" s="3"/>
      <c r="H22" s="3"/>
      <c r="I22" s="3"/>
      <c r="J22" s="3">
        <f>Table2[[#This Row],[打新费用]]+Table2[[#This Row],[交易费用]]</f>
        <v>100</v>
      </c>
      <c r="K22" s="3">
        <f>((Table2[[#This Row],[卖出价]]-Table2[[#This Row],[中签价]])*Table2[[#This Row],[中签数]]-Table2[[#This Row],[费用合计]])</f>
        <v>-100</v>
      </c>
      <c r="L22" s="5">
        <f>IFERROR(Table2[[#This Row],[收益额]]/Table2[[#This Row],[打新本金]],0)</f>
        <v>-6.9523575792169003E-4</v>
      </c>
      <c r="M22" s="32">
        <v>1</v>
      </c>
      <c r="N22" s="2"/>
      <c r="O22" s="2">
        <f>Table2[[#This Row],[张恺霖
投资本金]]*Table2[[#This Row],[单次收益率]]*Table2[[#This Row],[结算系数]]</f>
        <v>0</v>
      </c>
      <c r="P22" s="2">
        <f>Table2[[#This Row],[张恺霖
投资本金]]+Table2[[#This Row],[张恺霖
投资收益]]</f>
        <v>0</v>
      </c>
      <c r="Q22" s="2"/>
      <c r="R22" s="2">
        <f>Table2[[#This Row],[张忻霖
投资本金]]*Table2[[#This Row],[单次收益率]]*Table2[[#This Row],[结算系数]]</f>
        <v>0</v>
      </c>
      <c r="S22" s="2">
        <f>Table2[[#This Row],[张忻霖
投资本金]]+Table2[[#This Row],[张忻霖
投资收益]]</f>
        <v>0</v>
      </c>
      <c r="T22" cm="1">
        <f t="array" ref="T22">_xlfn.SWITCH(Table2[[#This Row],[市场]],"HK",1,"US",7.77,"SG",6,1)</f>
        <v>1</v>
      </c>
      <c r="U22" s="3">
        <f>Table2[[#This Row],[汇率]]*Table2[[#This Row],[打新本金]]</f>
        <v>143836.1</v>
      </c>
      <c r="V22" s="3">
        <f>Table2[[#This Row],[费用合计]]*Table2[[#This Row],[汇率]]</f>
        <v>100</v>
      </c>
      <c r="W22" s="3">
        <f>Table2[[#This Row],[汇率]]*Table2[[#This Row],[收益额]]</f>
        <v>-100</v>
      </c>
    </row>
    <row r="23" spans="1:23" x14ac:dyDescent="0.4">
      <c r="A23" t="s">
        <v>22</v>
      </c>
      <c r="B23" t="s">
        <v>16</v>
      </c>
      <c r="C23" s="3">
        <v>10297.82</v>
      </c>
      <c r="D23">
        <v>5000</v>
      </c>
      <c r="E23" s="3">
        <v>100</v>
      </c>
      <c r="F23">
        <v>0</v>
      </c>
      <c r="G23" s="3"/>
      <c r="H23" s="3"/>
      <c r="I23" s="3"/>
      <c r="J23" s="3">
        <f>Table2[[#This Row],[打新费用]]+Table2[[#This Row],[交易费用]]</f>
        <v>100</v>
      </c>
      <c r="K23" s="3">
        <f>((Table2[[#This Row],[卖出价]]-Table2[[#This Row],[中签价]])*Table2[[#This Row],[中签数]]-Table2[[#This Row],[费用合计]])</f>
        <v>-100</v>
      </c>
      <c r="L23" s="5">
        <f>IFERROR(Table2[[#This Row],[收益额]]/Table2[[#This Row],[打新本金]],0)</f>
        <v>-9.7107931581635731E-3</v>
      </c>
      <c r="M23" s="32">
        <v>1</v>
      </c>
      <c r="N23" s="2"/>
      <c r="O23" s="2">
        <f>Table2[[#This Row],[张恺霖
投资本金]]*Table2[[#This Row],[单次收益率]]*Table2[[#This Row],[结算系数]]</f>
        <v>0</v>
      </c>
      <c r="P23" s="2">
        <f>Table2[[#This Row],[张恺霖
投资本金]]+Table2[[#This Row],[张恺霖
投资收益]]</f>
        <v>0</v>
      </c>
      <c r="Q23" s="2"/>
      <c r="R23" s="2">
        <f>Table2[[#This Row],[张忻霖
投资本金]]*Table2[[#This Row],[单次收益率]]*Table2[[#This Row],[结算系数]]</f>
        <v>0</v>
      </c>
      <c r="S23" s="2">
        <f>Table2[[#This Row],[张忻霖
投资本金]]+Table2[[#This Row],[张忻霖
投资收益]]</f>
        <v>0</v>
      </c>
      <c r="T23" cm="1">
        <f t="array" ref="T23">_xlfn.SWITCH(Table2[[#This Row],[市场]],"HK",1,"US",7.77,"SG",6,1)</f>
        <v>1</v>
      </c>
      <c r="U23" s="3">
        <f>Table2[[#This Row],[汇率]]*Table2[[#This Row],[打新本金]]</f>
        <v>10297.82</v>
      </c>
      <c r="V23" s="3">
        <f>Table2[[#This Row],[费用合计]]*Table2[[#This Row],[汇率]]</f>
        <v>100</v>
      </c>
      <c r="W23" s="3">
        <f>Table2[[#This Row],[汇率]]*Table2[[#This Row],[收益额]]</f>
        <v>-100</v>
      </c>
    </row>
    <row r="24" spans="1:23" x14ac:dyDescent="0.4">
      <c r="A24" t="s">
        <v>1</v>
      </c>
      <c r="B24" t="s">
        <v>16</v>
      </c>
      <c r="C24" s="3">
        <v>186360.68</v>
      </c>
      <c r="D24">
        <v>60000</v>
      </c>
      <c r="E24" s="3">
        <v>224.05</v>
      </c>
      <c r="F24">
        <v>400</v>
      </c>
      <c r="G24" s="3">
        <v>30.75</v>
      </c>
      <c r="H24" s="3">
        <v>32.18</v>
      </c>
      <c r="I24" s="3">
        <v>33.369999999999997</v>
      </c>
      <c r="J24" s="3">
        <f>Table2[[#This Row],[打新费用]]+Table2[[#This Row],[交易费用]]</f>
        <v>257.42</v>
      </c>
      <c r="K24" s="3">
        <f>((Table2[[#This Row],[卖出价]]-Table2[[#This Row],[中签价]])*Table2[[#This Row],[中签数]]-Table2[[#This Row],[费用合计]])</f>
        <v>314.57999999999987</v>
      </c>
      <c r="L24" s="4">
        <f>IFERROR(Table2[[#This Row],[收益额]]/Table2[[#This Row],[打新本金]],0)</f>
        <v>1.6880170216163617E-3</v>
      </c>
      <c r="M24" s="32">
        <v>1</v>
      </c>
      <c r="N24" s="2"/>
      <c r="O24" s="2">
        <f>Table2[[#This Row],[张恺霖
投资本金]]*Table2[[#This Row],[单次收益率]]*Table2[[#This Row],[结算系数]]</f>
        <v>0</v>
      </c>
      <c r="P24" s="2">
        <f>Table2[[#This Row],[张恺霖
投资本金]]+Table2[[#This Row],[张恺霖
投资收益]]</f>
        <v>0</v>
      </c>
      <c r="Q24" s="2">
        <v>15</v>
      </c>
      <c r="R24" s="2">
        <f>Table2[[#This Row],[张忻霖
投资本金]]*Table2[[#This Row],[单次收益率]]*Table2[[#This Row],[结算系数]]</f>
        <v>2.5320255324245425E-2</v>
      </c>
      <c r="S24" s="2">
        <f>Table2[[#This Row],[张忻霖
投资本金]]+Table2[[#This Row],[张忻霖
投资收益]]</f>
        <v>15.025320255324246</v>
      </c>
      <c r="T24" cm="1">
        <f t="array" ref="T24">_xlfn.SWITCH(Table2[[#This Row],[市场]],"HK",1,"US",7.77,"SG",6,1)</f>
        <v>1</v>
      </c>
      <c r="U24" s="3">
        <f>Table2[[#This Row],[汇率]]*Table2[[#This Row],[打新本金]]</f>
        <v>186360.68</v>
      </c>
      <c r="V24" s="3">
        <f>Table2[[#This Row],[费用合计]]*Table2[[#This Row],[汇率]]</f>
        <v>257.42</v>
      </c>
      <c r="W24" s="3">
        <f>Table2[[#This Row],[汇率]]*Table2[[#This Row],[收益额]]</f>
        <v>314.57999999999987</v>
      </c>
    </row>
    <row r="25" spans="1:23" x14ac:dyDescent="0.4">
      <c r="A25" t="s">
        <v>8</v>
      </c>
      <c r="B25" t="s">
        <v>16</v>
      </c>
      <c r="C25" s="3">
        <v>144623.97</v>
      </c>
      <c r="D25">
        <v>20000</v>
      </c>
      <c r="E25" s="3">
        <v>172.2</v>
      </c>
      <c r="F25">
        <v>100</v>
      </c>
      <c r="G25" s="3">
        <v>71.59</v>
      </c>
      <c r="H25" s="3">
        <v>111.8</v>
      </c>
      <c r="I25" s="3">
        <v>31.66</v>
      </c>
      <c r="J25" s="3">
        <f>Table2[[#This Row],[打新费用]]+Table2[[#This Row],[交易费用]]</f>
        <v>203.85999999999999</v>
      </c>
      <c r="K25" s="3">
        <f>((Table2[[#This Row],[卖出价]]-Table2[[#This Row],[中签价]])*Table2[[#This Row],[中签数]]-Table2[[#This Row],[费用合计]])</f>
        <v>3817.1399999999994</v>
      </c>
      <c r="L25" s="5">
        <f>IFERROR(Table2[[#This Row],[收益额]]/Table2[[#This Row],[打新本金]],0)</f>
        <v>2.6393550114825359E-2</v>
      </c>
      <c r="M25" s="32">
        <v>1</v>
      </c>
      <c r="N25" s="2"/>
      <c r="O25" s="2">
        <f>Table2[[#This Row],[张恺霖
投资本金]]*Table2[[#This Row],[单次收益率]]*Table2[[#This Row],[结算系数]]</f>
        <v>0</v>
      </c>
      <c r="P25" s="2">
        <f>Table2[[#This Row],[张恺霖
投资本金]]+Table2[[#This Row],[张恺霖
投资收益]]</f>
        <v>0</v>
      </c>
      <c r="Q25" s="2"/>
      <c r="R25" s="2">
        <f>Table2[[#This Row],[张忻霖
投资本金]]*Table2[[#This Row],[单次收益率]]*Table2[[#This Row],[结算系数]]</f>
        <v>0</v>
      </c>
      <c r="S25" s="2">
        <f>Table2[[#This Row],[张忻霖
投资本金]]+Table2[[#This Row],[张忻霖
投资收益]]</f>
        <v>0</v>
      </c>
      <c r="T25" cm="1">
        <f t="array" ref="T25">_xlfn.SWITCH(Table2[[#This Row],[市场]],"HK",1,"US",7.77,"SG",6,1)</f>
        <v>1</v>
      </c>
      <c r="U25" s="3">
        <f>Table2[[#This Row],[汇率]]*Table2[[#This Row],[打新本金]]</f>
        <v>144623.97</v>
      </c>
      <c r="V25" s="3">
        <f>Table2[[#This Row],[费用合计]]*Table2[[#This Row],[汇率]]</f>
        <v>203.85999999999999</v>
      </c>
      <c r="W25" s="3">
        <f>Table2[[#This Row],[汇率]]*Table2[[#This Row],[收益额]]</f>
        <v>3817.1399999999994</v>
      </c>
    </row>
    <row r="26" spans="1:23" x14ac:dyDescent="0.4">
      <c r="A26" t="s">
        <v>9</v>
      </c>
      <c r="B26" t="s">
        <v>16</v>
      </c>
      <c r="C26" s="3">
        <v>148987.54</v>
      </c>
      <c r="D26">
        <v>100000</v>
      </c>
      <c r="E26" s="3">
        <v>100</v>
      </c>
      <c r="F26">
        <v>0</v>
      </c>
      <c r="G26" s="3"/>
      <c r="H26" s="3"/>
      <c r="I26" s="3"/>
      <c r="J26" s="3">
        <f>Table2[[#This Row],[打新费用]]+Table2[[#This Row],[交易费用]]</f>
        <v>100</v>
      </c>
      <c r="K26" s="3">
        <f>((Table2[[#This Row],[卖出价]]-Table2[[#This Row],[中签价]])*Table2[[#This Row],[中签数]]-Table2[[#This Row],[费用合计]])</f>
        <v>-100</v>
      </c>
      <c r="L26" s="5">
        <f>IFERROR(Table2[[#This Row],[收益额]]/Table2[[#This Row],[打新本金]],0)</f>
        <v>-6.7119706788903283E-4</v>
      </c>
      <c r="M26" s="32">
        <v>1</v>
      </c>
      <c r="N26" s="2">
        <v>15</v>
      </c>
      <c r="O26" s="2">
        <f>Table2[[#This Row],[张恺霖
投资本金]]*Table2[[#This Row],[单次收益率]]*Table2[[#This Row],[结算系数]]</f>
        <v>-1.0067956018335492E-2</v>
      </c>
      <c r="P26" s="2">
        <f>Table2[[#This Row],[张恺霖
投资本金]]+Table2[[#This Row],[张恺霖
投资收益]]</f>
        <v>14.989932043981664</v>
      </c>
      <c r="Q26" s="2">
        <v>20</v>
      </c>
      <c r="R26" s="2">
        <f>Table2[[#This Row],[张忻霖
投资本金]]*Table2[[#This Row],[单次收益率]]*Table2[[#This Row],[结算系数]]</f>
        <v>-1.3423941357780658E-2</v>
      </c>
      <c r="S26" s="2">
        <f>Table2[[#This Row],[张忻霖
投资本金]]+Table2[[#This Row],[张忻霖
投资收益]]</f>
        <v>19.986576058642218</v>
      </c>
      <c r="T26" cm="1">
        <f t="array" ref="T26">_xlfn.SWITCH(Table2[[#This Row],[市场]],"HK",1,"US",7.77,"SG",6,1)</f>
        <v>1</v>
      </c>
      <c r="U26" s="3">
        <f>Table2[[#This Row],[汇率]]*Table2[[#This Row],[打新本金]]</f>
        <v>148987.54</v>
      </c>
      <c r="V26" s="3">
        <f>Table2[[#This Row],[费用合计]]*Table2[[#This Row],[汇率]]</f>
        <v>100</v>
      </c>
      <c r="W26" s="3">
        <f>Table2[[#This Row],[汇率]]*Table2[[#This Row],[收益额]]</f>
        <v>-100</v>
      </c>
    </row>
    <row r="27" spans="1:23" x14ac:dyDescent="0.4">
      <c r="A27" t="s">
        <v>10</v>
      </c>
      <c r="B27" t="s">
        <v>16</v>
      </c>
      <c r="C27" s="3">
        <v>168946.82</v>
      </c>
      <c r="D27">
        <v>20000</v>
      </c>
      <c r="E27" s="3">
        <v>100</v>
      </c>
      <c r="F27">
        <v>0</v>
      </c>
      <c r="G27" s="3"/>
      <c r="H27" s="3"/>
      <c r="I27" s="3"/>
      <c r="J27" s="3">
        <f>Table2[[#This Row],[打新费用]]+Table2[[#This Row],[交易费用]]</f>
        <v>100</v>
      </c>
      <c r="K27" s="3">
        <f>((Table2[[#This Row],[卖出价]]-Table2[[#This Row],[中签价]])*Table2[[#This Row],[中签数]]-Table2[[#This Row],[费用合计]])</f>
        <v>-100</v>
      </c>
      <c r="L27" s="5">
        <f>IFERROR(Table2[[#This Row],[收益额]]/Table2[[#This Row],[打新本金]],0)</f>
        <v>-5.9190223290382139E-4</v>
      </c>
      <c r="M27" s="32">
        <v>1</v>
      </c>
      <c r="N27" s="2">
        <v>15</v>
      </c>
      <c r="O27" s="2">
        <f>Table2[[#This Row],[张恺霖
投资本金]]*Table2[[#This Row],[单次收益率]]*Table2[[#This Row],[结算系数]]</f>
        <v>-8.878533493557321E-3</v>
      </c>
      <c r="P27" s="2">
        <f>Table2[[#This Row],[张恺霖
投资本金]]+Table2[[#This Row],[张恺霖
投资收益]]</f>
        <v>14.991121466506442</v>
      </c>
      <c r="Q27" s="2">
        <v>120</v>
      </c>
      <c r="R27" s="2">
        <f>Table2[[#This Row],[张忻霖
投资本金]]*Table2[[#This Row],[单次收益率]]*Table2[[#This Row],[结算系数]]</f>
        <v>-7.1028267948458568E-2</v>
      </c>
      <c r="S27" s="2">
        <f>Table2[[#This Row],[张忻霖
投资本金]]+Table2[[#This Row],[张忻霖
投资收益]]</f>
        <v>119.92897173205154</v>
      </c>
      <c r="T27" cm="1">
        <f t="array" ref="T27">_xlfn.SWITCH(Table2[[#This Row],[市场]],"HK",1,"US",7.77,"SG",6,1)</f>
        <v>1</v>
      </c>
      <c r="U27" s="3">
        <f>Table2[[#This Row],[汇率]]*Table2[[#This Row],[打新本金]]</f>
        <v>168946.82</v>
      </c>
      <c r="V27" s="3">
        <f>Table2[[#This Row],[费用合计]]*Table2[[#This Row],[汇率]]</f>
        <v>100</v>
      </c>
      <c r="W27" s="3">
        <f>Table2[[#This Row],[汇率]]*Table2[[#This Row],[收益额]]</f>
        <v>-100</v>
      </c>
    </row>
    <row r="28" spans="1:23" x14ac:dyDescent="0.4">
      <c r="A28" t="s">
        <v>11</v>
      </c>
      <c r="B28" t="s">
        <v>16</v>
      </c>
      <c r="C28" s="3">
        <v>117169.86</v>
      </c>
      <c r="D28">
        <v>100000</v>
      </c>
      <c r="E28" s="3">
        <v>100</v>
      </c>
      <c r="F28">
        <v>0</v>
      </c>
      <c r="G28" s="3"/>
      <c r="H28" s="3"/>
      <c r="I28" s="3"/>
      <c r="J28" s="3">
        <f>Table2[[#This Row],[打新费用]]+Table2[[#This Row],[交易费用]]</f>
        <v>100</v>
      </c>
      <c r="K28" s="3">
        <f>((Table2[[#This Row],[卖出价]]-Table2[[#This Row],[中签价]])*Table2[[#This Row],[中签数]]-Table2[[#This Row],[费用合计]])</f>
        <v>-100</v>
      </c>
      <c r="L28" s="5">
        <f>IFERROR(Table2[[#This Row],[收益额]]/Table2[[#This Row],[打新本金]],0)</f>
        <v>-8.5346180323165016E-4</v>
      </c>
      <c r="M28" s="32">
        <v>1</v>
      </c>
      <c r="N28" s="2">
        <v>15</v>
      </c>
      <c r="O28" s="2">
        <f>Table2[[#This Row],[张恺霖
投资本金]]*Table2[[#This Row],[单次收益率]]*Table2[[#This Row],[结算系数]]</f>
        <v>-1.2801927048474753E-2</v>
      </c>
      <c r="P28" s="2">
        <f>Table2[[#This Row],[张恺霖
投资本金]]+Table2[[#This Row],[张恺霖
投资收益]]</f>
        <v>14.987198072951525</v>
      </c>
      <c r="Q28" s="2">
        <v>120</v>
      </c>
      <c r="R28" s="2">
        <f>Table2[[#This Row],[张忻霖
投资本金]]*Table2[[#This Row],[单次收益率]]*Table2[[#This Row],[结算系数]]</f>
        <v>-0.10241541638779803</v>
      </c>
      <c r="S28" s="2">
        <f>Table2[[#This Row],[张忻霖
投资本金]]+Table2[[#This Row],[张忻霖
投资收益]]</f>
        <v>119.8975845836122</v>
      </c>
      <c r="T28" cm="1">
        <f t="array" ref="T28">_xlfn.SWITCH(Table2[[#This Row],[市场]],"HK",1,"US",7.77,"SG",6,1)</f>
        <v>1</v>
      </c>
      <c r="U28" s="3">
        <f>Table2[[#This Row],[汇率]]*Table2[[#This Row],[打新本金]]</f>
        <v>117169.86</v>
      </c>
      <c r="V28" s="3">
        <f>Table2[[#This Row],[费用合计]]*Table2[[#This Row],[汇率]]</f>
        <v>100</v>
      </c>
      <c r="W28" s="3">
        <f>Table2[[#This Row],[汇率]]*Table2[[#This Row],[收益额]]</f>
        <v>-100</v>
      </c>
    </row>
    <row r="29" spans="1:23" x14ac:dyDescent="0.4">
      <c r="A29" t="s">
        <v>12</v>
      </c>
      <c r="B29" t="s">
        <v>16</v>
      </c>
      <c r="C29" s="3">
        <v>67594.89</v>
      </c>
      <c r="D29">
        <v>7000</v>
      </c>
      <c r="E29" s="3">
        <v>100</v>
      </c>
      <c r="F29">
        <v>0</v>
      </c>
      <c r="G29" s="3"/>
      <c r="H29" s="3"/>
      <c r="I29" s="3"/>
      <c r="J29" s="3">
        <f>Table2[[#This Row],[打新费用]]+Table2[[#This Row],[交易费用]]</f>
        <v>100</v>
      </c>
      <c r="K29" s="3">
        <f>((Table2[[#This Row],[卖出价]]-Table2[[#This Row],[中签价]])*Table2[[#This Row],[中签数]]-Table2[[#This Row],[费用合计]])</f>
        <v>-100</v>
      </c>
      <c r="L29" s="5">
        <f>IFERROR(Table2[[#This Row],[收益额]]/Table2[[#This Row],[打新本金]],0)</f>
        <v>-1.4794017713469169E-3</v>
      </c>
      <c r="M29" s="32">
        <v>1</v>
      </c>
      <c r="N29" s="2"/>
      <c r="O29" s="2">
        <f>Table2[[#This Row],[张恺霖
投资本金]]*Table2[[#This Row],[单次收益率]]*Table2[[#This Row],[结算系数]]</f>
        <v>0</v>
      </c>
      <c r="P29" s="2">
        <f>Table2[[#This Row],[张恺霖
投资本金]]+Table2[[#This Row],[张恺霖
投资收益]]</f>
        <v>0</v>
      </c>
      <c r="Q29" s="2">
        <v>10</v>
      </c>
      <c r="R29" s="2">
        <f>Table2[[#This Row],[张忻霖
投资本金]]*Table2[[#This Row],[单次收益率]]*Table2[[#This Row],[结算系数]]</f>
        <v>-1.4794017713469169E-2</v>
      </c>
      <c r="S29" s="2">
        <f>Table2[[#This Row],[张忻霖
投资本金]]+Table2[[#This Row],[张忻霖
投资收益]]</f>
        <v>9.98520598228653</v>
      </c>
      <c r="T29" cm="1">
        <f t="array" ref="T29">_xlfn.SWITCH(Table2[[#This Row],[市场]],"HK",1,"US",7.77,"SG",6,1)</f>
        <v>1</v>
      </c>
      <c r="U29" s="3">
        <f>Table2[[#This Row],[汇率]]*Table2[[#This Row],[打新本金]]</f>
        <v>67594.89</v>
      </c>
      <c r="V29" s="3">
        <f>Table2[[#This Row],[费用合计]]*Table2[[#This Row],[汇率]]</f>
        <v>100</v>
      </c>
      <c r="W29" s="3">
        <f>Table2[[#This Row],[汇率]]*Table2[[#This Row],[收益额]]</f>
        <v>-100</v>
      </c>
    </row>
    <row r="30" spans="1:23" x14ac:dyDescent="0.4">
      <c r="A30" t="s">
        <v>49</v>
      </c>
      <c r="B30" t="s">
        <v>16</v>
      </c>
      <c r="C30" s="3">
        <v>87271.34</v>
      </c>
      <c r="D30">
        <v>10000</v>
      </c>
      <c r="E30" s="3">
        <v>100</v>
      </c>
      <c r="F30">
        <v>0</v>
      </c>
      <c r="G30" s="3"/>
      <c r="H30" s="3"/>
      <c r="I30" s="3"/>
      <c r="J30" s="3">
        <f>Table2[[#This Row],[打新费用]]+Table2[[#This Row],[交易费用]]</f>
        <v>100</v>
      </c>
      <c r="K30" s="3">
        <f>((Table2[[#This Row],[卖出价]]-Table2[[#This Row],[中签价]])*Table2[[#This Row],[中签数]]-Table2[[#This Row],[费用合计]])</f>
        <v>-100</v>
      </c>
      <c r="L30" s="5">
        <f>IFERROR(Table2[[#This Row],[收益额]]/Table2[[#This Row],[打新本金]],0)</f>
        <v>-1.1458515475985588E-3</v>
      </c>
      <c r="M30" s="32">
        <v>1</v>
      </c>
      <c r="N30" s="2"/>
      <c r="O30" s="2">
        <f>Table2[[#This Row],[张恺霖
投资本金]]*Table2[[#This Row],[单次收益率]]*Table2[[#This Row],[结算系数]]</f>
        <v>0</v>
      </c>
      <c r="P30" s="2">
        <f>Table2[[#This Row],[张恺霖
投资本金]]+Table2[[#This Row],[张恺霖
投资收益]]</f>
        <v>0</v>
      </c>
      <c r="Q30" s="2"/>
      <c r="R30" s="2">
        <f>Table2[[#This Row],[张忻霖
投资本金]]*Table2[[#This Row],[单次收益率]]*Table2[[#This Row],[结算系数]]</f>
        <v>0</v>
      </c>
      <c r="S30" s="2">
        <f>Table2[[#This Row],[张忻霖
投资本金]]+Table2[[#This Row],[张忻霖
投资收益]]</f>
        <v>0</v>
      </c>
      <c r="T30" cm="1">
        <f t="array" ref="T30">_xlfn.SWITCH(Table2[[#This Row],[市场]],"HK",1,"US",7.77,"SG",6,1)</f>
        <v>1</v>
      </c>
      <c r="U30" s="3">
        <f>Table2[[#This Row],[汇率]]*Table2[[#This Row],[打新本金]]</f>
        <v>87271.34</v>
      </c>
      <c r="V30" s="3">
        <f>Table2[[#This Row],[费用合计]]*Table2[[#This Row],[汇率]]</f>
        <v>100</v>
      </c>
      <c r="W30" s="3">
        <f>Table2[[#This Row],[汇率]]*Table2[[#This Row],[收益额]]</f>
        <v>-100</v>
      </c>
    </row>
    <row r="31" spans="1:23" x14ac:dyDescent="0.4">
      <c r="A31" t="s">
        <v>47</v>
      </c>
      <c r="B31" t="s">
        <v>16</v>
      </c>
      <c r="C31" s="3">
        <v>61817.2</v>
      </c>
      <c r="D31">
        <v>20000</v>
      </c>
      <c r="E31" s="3">
        <v>100</v>
      </c>
      <c r="F31">
        <v>0</v>
      </c>
      <c r="G31" s="3"/>
      <c r="H31" s="3"/>
      <c r="I31" s="3"/>
      <c r="J31" s="3">
        <f>Table2[[#This Row],[打新费用]]+Table2[[#This Row],[交易费用]]</f>
        <v>100</v>
      </c>
      <c r="K31" s="3">
        <f>((Table2[[#This Row],[卖出价]]-Table2[[#This Row],[中签价]])*Table2[[#This Row],[中签数]]-Table2[[#This Row],[费用合计]])</f>
        <v>-100</v>
      </c>
      <c r="L31" s="5">
        <f>IFERROR(Table2[[#This Row],[收益额]]/Table2[[#This Row],[打新本金]],0)</f>
        <v>-1.6176727512731085E-3</v>
      </c>
      <c r="M31" s="32">
        <v>1</v>
      </c>
      <c r="N31" s="2">
        <v>7.5</v>
      </c>
      <c r="O31" s="2">
        <f>Table2[[#This Row],[张恺霖
投资本金]]*Table2[[#This Row],[单次收益率]]*Table2[[#This Row],[结算系数]]</f>
        <v>-1.2132545634548315E-2</v>
      </c>
      <c r="P31" s="2">
        <f>Table2[[#This Row],[张恺霖
投资本金]]+Table2[[#This Row],[张恺霖
投资收益]]</f>
        <v>7.4878674543654515</v>
      </c>
      <c r="Q31" s="2">
        <v>100</v>
      </c>
      <c r="R31" s="2">
        <f>Table2[[#This Row],[张忻霖
投资本金]]*Table2[[#This Row],[单次收益率]]*Table2[[#This Row],[结算系数]]</f>
        <v>-0.16176727512731084</v>
      </c>
      <c r="S31" s="2">
        <f>Table2[[#This Row],[张忻霖
投资本金]]+Table2[[#This Row],[张忻霖
投资收益]]</f>
        <v>99.838232724872682</v>
      </c>
      <c r="T31" cm="1">
        <f t="array" ref="T31">_xlfn.SWITCH(Table2[[#This Row],[市场]],"HK",1,"US",7.77,"SG",6,1)</f>
        <v>1</v>
      </c>
      <c r="U31" s="3">
        <f>Table2[[#This Row],[汇率]]*Table2[[#This Row],[打新本金]]</f>
        <v>61817.2</v>
      </c>
      <c r="V31" s="3">
        <f>Table2[[#This Row],[费用合计]]*Table2[[#This Row],[汇率]]</f>
        <v>100</v>
      </c>
      <c r="W31" s="3">
        <f>Table2[[#This Row],[汇率]]*Table2[[#This Row],[收益额]]</f>
        <v>-100</v>
      </c>
    </row>
    <row r="32" spans="1:23" x14ac:dyDescent="0.4">
      <c r="A32" t="s">
        <v>48</v>
      </c>
      <c r="B32" t="s">
        <v>16</v>
      </c>
      <c r="C32" s="3">
        <v>19545.14</v>
      </c>
      <c r="D32">
        <v>9000</v>
      </c>
      <c r="E32" s="3">
        <v>100</v>
      </c>
      <c r="F32">
        <v>0</v>
      </c>
      <c r="G32" s="3"/>
      <c r="H32" s="3"/>
      <c r="I32" s="3"/>
      <c r="J32" s="3">
        <f>Table2[[#This Row],[打新费用]]+Table2[[#This Row],[交易费用]]</f>
        <v>100</v>
      </c>
      <c r="K32" s="3">
        <f>((Table2[[#This Row],[卖出价]]-Table2[[#This Row],[中签价]])*Table2[[#This Row],[中签数]]-Table2[[#This Row],[费用合计]])</f>
        <v>-100</v>
      </c>
      <c r="L32" s="5">
        <f>IFERROR(Table2[[#This Row],[收益额]]/Table2[[#This Row],[打新本金]],0)</f>
        <v>-5.1163614074905576E-3</v>
      </c>
      <c r="M32" s="32">
        <v>1</v>
      </c>
      <c r="N32" s="2">
        <v>7.5</v>
      </c>
      <c r="O32" s="2">
        <f>Table2[[#This Row],[张恺霖
投资本金]]*Table2[[#This Row],[单次收益率]]*Table2[[#This Row],[结算系数]]</f>
        <v>-3.8372710556179183E-2</v>
      </c>
      <c r="P32" s="2">
        <f>Table2[[#This Row],[张恺霖
投资本金]]+Table2[[#This Row],[张恺霖
投资收益]]</f>
        <v>7.4616272894438209</v>
      </c>
      <c r="Q32" s="2">
        <v>30</v>
      </c>
      <c r="R32" s="2">
        <f>Table2[[#This Row],[张忻霖
投资本金]]*Table2[[#This Row],[单次收益率]]*Table2[[#This Row],[结算系数]]</f>
        <v>-0.15349084222471673</v>
      </c>
      <c r="S32" s="2">
        <f>Table2[[#This Row],[张忻霖
投资本金]]+Table2[[#This Row],[张忻霖
投资收益]]</f>
        <v>29.846509157775284</v>
      </c>
      <c r="T32" cm="1">
        <f t="array" ref="T32">_xlfn.SWITCH(Table2[[#This Row],[市场]],"HK",1,"US",7.77,"SG",6,1)</f>
        <v>1</v>
      </c>
      <c r="U32" s="3">
        <f>Table2[[#This Row],[汇率]]*Table2[[#This Row],[打新本金]]</f>
        <v>19545.14</v>
      </c>
      <c r="V32" s="3">
        <f>Table2[[#This Row],[费用合计]]*Table2[[#This Row],[汇率]]</f>
        <v>100</v>
      </c>
      <c r="W32" s="3">
        <f>Table2[[#This Row],[汇率]]*Table2[[#This Row],[收益额]]</f>
        <v>-100</v>
      </c>
    </row>
    <row r="33" spans="1:25" x14ac:dyDescent="0.4">
      <c r="A33" t="s">
        <v>50</v>
      </c>
      <c r="B33" t="s">
        <v>16</v>
      </c>
      <c r="C33" s="10">
        <v>6454.44</v>
      </c>
      <c r="D33">
        <v>3000</v>
      </c>
      <c r="E33" s="3">
        <v>100</v>
      </c>
      <c r="F33">
        <v>200</v>
      </c>
      <c r="G33" s="3">
        <v>21.3</v>
      </c>
      <c r="H33" s="3">
        <v>22.3</v>
      </c>
      <c r="I33" s="3">
        <v>21.86</v>
      </c>
      <c r="J33" s="3">
        <f>Table2[[#This Row],[打新费用]]+Table2[[#This Row],[交易费用]]</f>
        <v>121.86</v>
      </c>
      <c r="K33" s="3">
        <f>((Table2[[#This Row],[卖出价]]-Table2[[#This Row],[中签价]])*Table2[[#This Row],[中签数]]-Table2[[#This Row],[费用合计]])</f>
        <v>78.14</v>
      </c>
      <c r="L33" s="5">
        <f>IFERROR(Table2[[#This Row],[收益额]]/Table2[[#This Row],[打新本金]],0)</f>
        <v>1.2106394977720763E-2</v>
      </c>
      <c r="M33" s="32">
        <v>1</v>
      </c>
      <c r="N33" s="2">
        <v>30</v>
      </c>
      <c r="O33" s="2">
        <f>Table2[[#This Row],[张恺霖
投资本金]]*Table2[[#This Row],[单次收益率]]*Table2[[#This Row],[结算系数]]</f>
        <v>0.36319184933162291</v>
      </c>
      <c r="P33" s="2">
        <f>Table2[[#This Row],[张恺霖
投资本金]]+Table2[[#This Row],[张恺霖
投资收益]]</f>
        <v>30.363191849331624</v>
      </c>
      <c r="Q33" s="2">
        <v>400</v>
      </c>
      <c r="R33" s="2">
        <f>Table2[[#This Row],[张忻霖
投资本金]]*Table2[[#This Row],[单次收益率]]*Table2[[#This Row],[结算系数]]</f>
        <v>4.842557991088305</v>
      </c>
      <c r="S33" s="2">
        <f>Table2[[#This Row],[张忻霖
投资本金]]+Table2[[#This Row],[张忻霖
投资收益]]</f>
        <v>404.84255799108831</v>
      </c>
      <c r="T33" cm="1">
        <f t="array" ref="T33">_xlfn.SWITCH(Table2[[#This Row],[市场]],"HK",1,"US",7.77,"SG",6,1)</f>
        <v>1</v>
      </c>
      <c r="U33" s="3">
        <f>Table2[[#This Row],[汇率]]*Table2[[#This Row],[打新本金]]</f>
        <v>6454.44</v>
      </c>
      <c r="V33" s="3">
        <f>Table2[[#This Row],[费用合计]]*Table2[[#This Row],[汇率]]</f>
        <v>121.86</v>
      </c>
      <c r="W33" s="3">
        <f>Table2[[#This Row],[汇率]]*Table2[[#This Row],[收益额]]</f>
        <v>78.14</v>
      </c>
    </row>
    <row r="34" spans="1:25" x14ac:dyDescent="0.4">
      <c r="A34" t="s">
        <v>51</v>
      </c>
      <c r="B34" t="s">
        <v>16</v>
      </c>
      <c r="C34" s="10">
        <v>284843.96999999997</v>
      </c>
      <c r="D34">
        <v>20000</v>
      </c>
      <c r="E34" s="3">
        <v>100</v>
      </c>
      <c r="F34">
        <v>0</v>
      </c>
      <c r="G34" s="3"/>
      <c r="H34" s="3"/>
      <c r="I34" s="3"/>
      <c r="J34" s="3">
        <f>Table2[[#This Row],[打新费用]]+Table2[[#This Row],[交易费用]]</f>
        <v>100</v>
      </c>
      <c r="K34" s="3">
        <f>((Table2[[#This Row],[卖出价]]-Table2[[#This Row],[中签价]])*Table2[[#This Row],[中签数]]-Table2[[#This Row],[费用合计]])</f>
        <v>-100</v>
      </c>
      <c r="L34" s="5">
        <f>IFERROR(Table2[[#This Row],[收益额]]/Table2[[#This Row],[打新本金]],0)</f>
        <v>-3.5106939423713276E-4</v>
      </c>
      <c r="M34" s="32">
        <v>1</v>
      </c>
      <c r="N34" s="2"/>
      <c r="O34" s="2">
        <f>Table2[[#This Row],[张恺霖
投资本金]]*Table2[[#This Row],[单次收益率]]*Table2[[#This Row],[结算系数]]</f>
        <v>0</v>
      </c>
      <c r="P34" s="2">
        <f>Table2[[#This Row],[张恺霖
投资本金]]+Table2[[#This Row],[张恺霖
投资收益]]</f>
        <v>0</v>
      </c>
      <c r="Q34" s="2"/>
      <c r="R34" s="2">
        <f>Table2[[#This Row],[张忻霖
投资本金]]*Table2[[#This Row],[单次收益率]]*Table2[[#This Row],[结算系数]]</f>
        <v>0</v>
      </c>
      <c r="S34" s="2">
        <f>Table2[[#This Row],[张忻霖
投资本金]]+Table2[[#This Row],[张忻霖
投资收益]]</f>
        <v>0</v>
      </c>
      <c r="T34" cm="1">
        <f t="array" ref="T34">_xlfn.SWITCH(Table2[[#This Row],[市场]],"HK",1,"US",7.77,"SG",6,1)</f>
        <v>1</v>
      </c>
      <c r="U34" s="3">
        <f>Table2[[#This Row],[汇率]]*Table2[[#This Row],[打新本金]]</f>
        <v>284843.96999999997</v>
      </c>
      <c r="V34" s="3">
        <f>Table2[[#This Row],[费用合计]]*Table2[[#This Row],[汇率]]</f>
        <v>100</v>
      </c>
      <c r="W34" s="3">
        <f>Table2[[#This Row],[汇率]]*Table2[[#This Row],[收益额]]</f>
        <v>-100</v>
      </c>
    </row>
    <row r="35" spans="1:25" x14ac:dyDescent="0.4">
      <c r="A35" t="s">
        <v>52</v>
      </c>
      <c r="B35" t="s">
        <v>16</v>
      </c>
      <c r="C35" s="24">
        <v>181815.3</v>
      </c>
      <c r="D35">
        <v>10000</v>
      </c>
      <c r="E35" s="3">
        <v>100</v>
      </c>
      <c r="F35">
        <v>100</v>
      </c>
      <c r="G35" s="3">
        <v>139</v>
      </c>
      <c r="H35" s="3">
        <v>88.8</v>
      </c>
      <c r="I35" s="3">
        <v>27.7</v>
      </c>
      <c r="J35" s="3">
        <f>Table2[[#This Row],[打新费用]]+Table2[[#This Row],[交易费用]]</f>
        <v>127.7</v>
      </c>
      <c r="K35" s="3">
        <f>((Table2[[#This Row],[卖出价]]-Table2[[#This Row],[中签价]])*Table2[[#This Row],[中签数]]-Table2[[#This Row],[费用合计]])</f>
        <v>-5147.7</v>
      </c>
      <c r="L35" s="5">
        <f>IFERROR(Table2[[#This Row],[收益额]]/Table2[[#This Row],[打新本金]],0)</f>
        <v>-2.8312798757860313E-2</v>
      </c>
      <c r="M35" s="32">
        <v>1</v>
      </c>
      <c r="N35" s="2">
        <v>10</v>
      </c>
      <c r="O35" s="2">
        <f>Table2[[#This Row],[张恺霖
投资本金]]*Table2[[#This Row],[单次收益率]]*Table2[[#This Row],[结算系数]]</f>
        <v>-0.28312798757860314</v>
      </c>
      <c r="P35" s="2">
        <f>Table2[[#This Row],[张恺霖
投资本金]]+Table2[[#This Row],[张恺霖
投资收益]]</f>
        <v>9.7168720124213976</v>
      </c>
      <c r="Q35" s="2">
        <v>100</v>
      </c>
      <c r="R35" s="2">
        <f>Table2[[#This Row],[张忻霖
投资本金]]*Table2[[#This Row],[单次收益率]]*Table2[[#This Row],[结算系数]]</f>
        <v>-2.8312798757860311</v>
      </c>
      <c r="S35" s="2">
        <f>Table2[[#This Row],[张忻霖
投资本金]]+Table2[[#This Row],[张忻霖
投资收益]]</f>
        <v>97.168720124213962</v>
      </c>
      <c r="T35" cm="1">
        <f t="array" ref="T35">_xlfn.SWITCH(Table2[[#This Row],[市场]],"HK",1,"US",7.77,"SG",6,1)</f>
        <v>1</v>
      </c>
      <c r="U35" s="3">
        <f>Table2[[#This Row],[汇率]]*Table2[[#This Row],[打新本金]]</f>
        <v>181815.3</v>
      </c>
      <c r="V35" s="3">
        <f>Table2[[#This Row],[费用合计]]*Table2[[#This Row],[汇率]]</f>
        <v>127.7</v>
      </c>
      <c r="W35" s="3">
        <f>Table2[[#This Row],[汇率]]*Table2[[#This Row],[收益额]]</f>
        <v>-5147.7</v>
      </c>
      <c r="Y35" s="27">
        <v>46105</v>
      </c>
    </row>
    <row r="36" spans="1:25" x14ac:dyDescent="0.4">
      <c r="A36" t="s">
        <v>53</v>
      </c>
      <c r="B36" t="s">
        <v>16</v>
      </c>
      <c r="C36" s="10">
        <v>51514.34</v>
      </c>
      <c r="D36">
        <v>15000</v>
      </c>
      <c r="E36" s="3">
        <v>100</v>
      </c>
      <c r="F36">
        <v>0</v>
      </c>
      <c r="G36" s="3"/>
      <c r="H36" s="3"/>
      <c r="I36" s="3"/>
      <c r="J36" s="3">
        <f>Table2[[#This Row],[打新费用]]+Table2[[#This Row],[交易费用]]</f>
        <v>100</v>
      </c>
      <c r="K36" s="3">
        <f>((Table2[[#This Row],[卖出价]]-Table2[[#This Row],[中签价]])*Table2[[#This Row],[中签数]]-Table2[[#This Row],[费用合计]])</f>
        <v>-100</v>
      </c>
      <c r="L36" s="5">
        <f>IFERROR(Table2[[#This Row],[收益额]]/Table2[[#This Row],[打新本金]],0)</f>
        <v>-1.9412070503087102E-3</v>
      </c>
      <c r="M36" s="32">
        <v>1</v>
      </c>
      <c r="N36" s="2">
        <v>10</v>
      </c>
      <c r="O36" s="2">
        <f>Table2[[#This Row],[张恺霖
投资本金]]*Table2[[#This Row],[单次收益率]]*Table2[[#This Row],[结算系数]]</f>
        <v>-1.9412070503087103E-2</v>
      </c>
      <c r="P36" s="2">
        <f>Table2[[#This Row],[张恺霖
投资本金]]+Table2[[#This Row],[张恺霖
投资收益]]</f>
        <v>9.9805879294969131</v>
      </c>
      <c r="Q36" s="2">
        <v>100</v>
      </c>
      <c r="R36" s="2">
        <f>Table2[[#This Row],[张忻霖
投资本金]]*Table2[[#This Row],[单次收益率]]*Table2[[#This Row],[结算系数]]</f>
        <v>-0.19412070503087103</v>
      </c>
      <c r="S36" s="2">
        <f>Table2[[#This Row],[张忻霖
投资本金]]+Table2[[#This Row],[张忻霖
投资收益]]</f>
        <v>99.805879294969131</v>
      </c>
      <c r="T36" cm="1">
        <f t="array" ref="T36">_xlfn.SWITCH(Table2[[#This Row],[市场]],"HK",1,"US",7.77,"SG",6,1)</f>
        <v>1</v>
      </c>
      <c r="U36" s="3">
        <f>Table2[[#This Row],[汇率]]*Table2[[#This Row],[打新本金]]</f>
        <v>51514.34</v>
      </c>
      <c r="V36" s="3">
        <f>Table2[[#This Row],[费用合计]]*Table2[[#This Row],[汇率]]</f>
        <v>100</v>
      </c>
      <c r="W36" s="3">
        <f>Table2[[#This Row],[汇率]]*Table2[[#This Row],[收益额]]</f>
        <v>-100</v>
      </c>
    </row>
    <row r="37" spans="1:25" x14ac:dyDescent="0.4">
      <c r="A37" t="s">
        <v>54</v>
      </c>
      <c r="B37" t="s">
        <v>16</v>
      </c>
      <c r="C37" s="10">
        <v>59595.02</v>
      </c>
      <c r="D37">
        <v>25000</v>
      </c>
      <c r="E37" s="3">
        <v>100</v>
      </c>
      <c r="F37">
        <v>0</v>
      </c>
      <c r="G37" s="3"/>
      <c r="H37" s="3"/>
      <c r="I37" s="3"/>
      <c r="J37" s="3">
        <f>Table2[[#This Row],[打新费用]]+Table2[[#This Row],[交易费用]]</f>
        <v>100</v>
      </c>
      <c r="K37" s="3">
        <f>((Table2[[#This Row],[卖出价]]-Table2[[#This Row],[中签价]])*Table2[[#This Row],[中签数]]-Table2[[#This Row],[费用合计]])</f>
        <v>-100</v>
      </c>
      <c r="L37" s="5">
        <f>IFERROR(Table2[[#This Row],[收益额]]/Table2[[#This Row],[打新本金]],0)</f>
        <v>-1.6779925570962139E-3</v>
      </c>
      <c r="M37" s="32">
        <v>1</v>
      </c>
      <c r="N37" s="2">
        <v>10</v>
      </c>
      <c r="O37" s="2">
        <f>Table2[[#This Row],[张恺霖
投资本金]]*Table2[[#This Row],[单次收益率]]*Table2[[#This Row],[结算系数]]</f>
        <v>-1.677992557096214E-2</v>
      </c>
      <c r="P37" s="2">
        <f>Table2[[#This Row],[张恺霖
投资本金]]+Table2[[#This Row],[张恺霖
投资收益]]</f>
        <v>9.9832200744290382</v>
      </c>
      <c r="Q37" s="2">
        <v>200</v>
      </c>
      <c r="R37" s="2">
        <f>Table2[[#This Row],[张忻霖
投资本金]]*Table2[[#This Row],[单次收益率]]*Table2[[#This Row],[结算系数]]</f>
        <v>-0.3355985114192428</v>
      </c>
      <c r="S37" s="2">
        <f>Table2[[#This Row],[张忻霖
投资本金]]+Table2[[#This Row],[张忻霖
投资收益]]</f>
        <v>199.66440148858075</v>
      </c>
      <c r="T37" cm="1">
        <f t="array" ref="T37">_xlfn.SWITCH(Table2[[#This Row],[市场]],"HK",1,"US",7.77,"SG",6,1)</f>
        <v>1</v>
      </c>
      <c r="U37" s="3">
        <f>Table2[[#This Row],[汇率]]*Table2[[#This Row],[打新本金]]</f>
        <v>59595.02</v>
      </c>
      <c r="V37" s="3">
        <f>Table2[[#This Row],[费用合计]]*Table2[[#This Row],[汇率]]</f>
        <v>100</v>
      </c>
      <c r="W37" s="3">
        <f>Table2[[#This Row],[汇率]]*Table2[[#This Row],[收益额]]</f>
        <v>-100</v>
      </c>
    </row>
    <row r="38" spans="1:25" x14ac:dyDescent="0.4">
      <c r="A38" t="s">
        <v>55</v>
      </c>
      <c r="B38" t="s">
        <v>16</v>
      </c>
      <c r="C38" s="24">
        <v>70705.95</v>
      </c>
      <c r="D38">
        <v>20000</v>
      </c>
      <c r="E38" s="3">
        <v>100</v>
      </c>
      <c r="F38">
        <v>1400</v>
      </c>
      <c r="G38" s="3">
        <v>27.1</v>
      </c>
      <c r="H38" s="3">
        <v>18.18</v>
      </c>
      <c r="I38" s="3">
        <v>51.61</v>
      </c>
      <c r="J38" s="3">
        <f>Table2[[#This Row],[打新费用]]+Table2[[#This Row],[交易费用]]</f>
        <v>151.61000000000001</v>
      </c>
      <c r="K38" s="3">
        <f>((Table2[[#This Row],[卖出价]]-Table2[[#This Row],[中签价]])*Table2[[#This Row],[中签数]]-Table2[[#This Row],[费用合计]])</f>
        <v>-12639.610000000002</v>
      </c>
      <c r="L38" s="5">
        <f>IFERROR(Table2[[#This Row],[收益额]]/Table2[[#This Row],[打新本金]],0)</f>
        <v>-0.17876303196548526</v>
      </c>
      <c r="M38" s="32">
        <v>1</v>
      </c>
      <c r="N38" s="2">
        <v>10</v>
      </c>
      <c r="O38" s="2">
        <f>Table2[[#This Row],[张恺霖
投资本金]]*Table2[[#This Row],[单次收益率]]*Table2[[#This Row],[结算系数]]</f>
        <v>-1.7876303196548526</v>
      </c>
      <c r="P38" s="2">
        <f>Table2[[#This Row],[张恺霖
投资本金]]+Table2[[#This Row],[张恺霖
投资收益]]</f>
        <v>8.212369680345148</v>
      </c>
      <c r="Q38" s="2">
        <v>100</v>
      </c>
      <c r="R38" s="2">
        <f>Table2[[#This Row],[张忻霖
投资本金]]*Table2[[#This Row],[单次收益率]]*Table2[[#This Row],[结算系数]]</f>
        <v>-17.876303196548527</v>
      </c>
      <c r="S38" s="2">
        <f>Table2[[#This Row],[张忻霖
投资本金]]+Table2[[#This Row],[张忻霖
投资收益]]</f>
        <v>82.12369680345148</v>
      </c>
      <c r="T38" cm="1">
        <f t="array" ref="T38">_xlfn.SWITCH(Table2[[#This Row],[市场]],"HK",1,"US",7.77,"SG",6,1)</f>
        <v>1</v>
      </c>
      <c r="U38" s="3">
        <f>Table2[[#This Row],[汇率]]*Table2[[#This Row],[打新本金]]</f>
        <v>70705.95</v>
      </c>
      <c r="V38" s="3">
        <f>Table2[[#This Row],[费用合计]]*Table2[[#This Row],[汇率]]</f>
        <v>151.61000000000001</v>
      </c>
      <c r="W38" s="3">
        <f>Table2[[#This Row],[汇率]]*Table2[[#This Row],[收益额]]</f>
        <v>-12639.610000000002</v>
      </c>
      <c r="Y38" s="27">
        <v>46106</v>
      </c>
    </row>
    <row r="39" spans="1:25" x14ac:dyDescent="0.4">
      <c r="A39" t="s">
        <v>60</v>
      </c>
      <c r="B39" t="s">
        <v>16</v>
      </c>
      <c r="C39" s="10">
        <v>264642.27</v>
      </c>
      <c r="D39">
        <v>100000</v>
      </c>
      <c r="E39" s="3">
        <v>152.85</v>
      </c>
      <c r="F39">
        <v>200</v>
      </c>
      <c r="G39" s="3">
        <v>26.2</v>
      </c>
      <c r="H39" s="3">
        <v>34.68</v>
      </c>
      <c r="I39" s="3">
        <v>24.89</v>
      </c>
      <c r="J39" s="3">
        <f>Table2[[#This Row],[打新费用]]+Table2[[#This Row],[交易费用]]</f>
        <v>177.74</v>
      </c>
      <c r="K39" s="3">
        <f>((Table2[[#This Row],[卖出价]]-Table2[[#This Row],[中签价]])*Table2[[#This Row],[中签数]]-Table2[[#This Row],[费用合计]])</f>
        <v>1518.26</v>
      </c>
      <c r="L39" s="5">
        <f>IFERROR(Table2[[#This Row],[收益额]]/Table2[[#This Row],[打新本金]],0)</f>
        <v>5.7370275731084075E-3</v>
      </c>
      <c r="M39" s="32">
        <v>1</v>
      </c>
      <c r="N39" s="2"/>
      <c r="O39" s="2">
        <f>Table2[[#This Row],[张恺霖
投资本金]]*Table2[[#This Row],[单次收益率]]*Table2[[#This Row],[结算系数]]</f>
        <v>0</v>
      </c>
      <c r="P39" s="2">
        <f>Table2[[#This Row],[张恺霖
投资本金]]+Table2[[#This Row],[张恺霖
投资收益]]</f>
        <v>0</v>
      </c>
      <c r="Q39" s="2">
        <v>100</v>
      </c>
      <c r="R39" s="2">
        <f>Table2[[#This Row],[张忻霖
投资本金]]*Table2[[#This Row],[单次收益率]]*Table2[[#This Row],[结算系数]]</f>
        <v>0.57370275731084075</v>
      </c>
      <c r="S39" s="2">
        <f>Table2[[#This Row],[张忻霖
投资本金]]+Table2[[#This Row],[张忻霖
投资收益]]</f>
        <v>100.57370275731084</v>
      </c>
      <c r="T39" cm="1">
        <f t="array" ref="T39">_xlfn.SWITCH(Table2[[#This Row],[市场]],"HK",1,"US",7.77,"SG",6,1)</f>
        <v>1</v>
      </c>
      <c r="U39" s="3">
        <f>Table2[[#This Row],[汇率]]*Table2[[#This Row],[打新本金]]</f>
        <v>264642.27</v>
      </c>
      <c r="V39" s="3">
        <f>Table2[[#This Row],[费用合计]]*Table2[[#This Row],[汇率]]</f>
        <v>177.74</v>
      </c>
      <c r="W39" s="3">
        <f>Table2[[#This Row],[汇率]]*Table2[[#This Row],[收益额]]</f>
        <v>1518.26</v>
      </c>
    </row>
    <row r="40" spans="1:25" x14ac:dyDescent="0.4">
      <c r="A40" t="s">
        <v>61</v>
      </c>
      <c r="B40" t="s">
        <v>16</v>
      </c>
      <c r="C40" s="24">
        <v>38281.21</v>
      </c>
      <c r="D40">
        <v>10000</v>
      </c>
      <c r="E40" s="3">
        <v>237.16</v>
      </c>
      <c r="F40">
        <v>400</v>
      </c>
      <c r="G40" s="3">
        <v>34</v>
      </c>
      <c r="H40" s="3">
        <v>37.880000000000003</v>
      </c>
      <c r="I40" s="3">
        <v>37.32</v>
      </c>
      <c r="J40" s="3">
        <f>Table2[[#This Row],[打新费用]]+Table2[[#This Row],[交易费用]]</f>
        <v>274.48</v>
      </c>
      <c r="K40" s="3">
        <f>((Table2[[#This Row],[卖出价]]-Table2[[#This Row],[中签价]])*Table2[[#This Row],[中签数]]-Table2[[#This Row],[费用合计]])</f>
        <v>1277.5200000000009</v>
      </c>
      <c r="L40" s="5">
        <f>IFERROR(Table2[[#This Row],[收益额]]/Table2[[#This Row],[打新本金]],0)</f>
        <v>3.3371985890728137E-2</v>
      </c>
      <c r="M40" s="32">
        <v>1</v>
      </c>
      <c r="N40" s="2">
        <v>10</v>
      </c>
      <c r="O40" s="2">
        <f>Table2[[#This Row],[张恺霖
投资本金]]*Table2[[#This Row],[单次收益率]]*Table2[[#This Row],[结算系数]]</f>
        <v>0.3337198589072814</v>
      </c>
      <c r="P40" s="2">
        <f>Table2[[#This Row],[张恺霖
投资本金]]+Table2[[#This Row],[张恺霖
投资收益]]</f>
        <v>10.333719858907282</v>
      </c>
      <c r="Q40" s="2">
        <v>100</v>
      </c>
      <c r="R40" s="2">
        <f>Table2[[#This Row],[张忻霖
投资本金]]*Table2[[#This Row],[单次收益率]]*Table2[[#This Row],[结算系数]]</f>
        <v>3.3371985890728135</v>
      </c>
      <c r="S40" s="2">
        <f>Table2[[#This Row],[张忻霖
投资本金]]+Table2[[#This Row],[张忻霖
投资收益]]</f>
        <v>103.33719858907281</v>
      </c>
      <c r="T40" cm="1">
        <f t="array" ref="T40">_xlfn.SWITCH(Table2[[#This Row],[市场]],"HK",1,"US",7.77,"SG",6,1)</f>
        <v>1</v>
      </c>
      <c r="U40" s="3">
        <f>Table2[[#This Row],[汇率]]*Table2[[#This Row],[打新本金]]</f>
        <v>38281.21</v>
      </c>
      <c r="V40" s="3">
        <f>Table2[[#This Row],[费用合计]]*Table2[[#This Row],[汇率]]</f>
        <v>274.48</v>
      </c>
      <c r="W40" s="3">
        <f>Table2[[#This Row],[汇率]]*Table2[[#This Row],[收益额]]</f>
        <v>1277.5200000000009</v>
      </c>
    </row>
    <row r="41" spans="1:25" x14ac:dyDescent="0.4">
      <c r="A41" t="s">
        <v>62</v>
      </c>
      <c r="B41" t="s">
        <v>16</v>
      </c>
      <c r="C41" s="24">
        <v>333025.02</v>
      </c>
      <c r="D41">
        <v>300000</v>
      </c>
      <c r="E41" s="3">
        <v>210.83</v>
      </c>
      <c r="F41">
        <v>1000</v>
      </c>
      <c r="G41" s="3">
        <v>10.99</v>
      </c>
      <c r="H41" s="3">
        <v>14.58</v>
      </c>
      <c r="I41" s="3">
        <v>37.270000000000003</v>
      </c>
      <c r="J41" s="3">
        <f>Table2[[#This Row],[打新费用]]+Table2[[#This Row],[交易费用]]</f>
        <v>248.10000000000002</v>
      </c>
      <c r="K41" s="3">
        <f>((Table2[[#This Row],[卖出价]]-Table2[[#This Row],[中签价]])*Table2[[#This Row],[中签数]]-Table2[[#This Row],[费用合计]])</f>
        <v>3341.9</v>
      </c>
      <c r="L41" s="5">
        <f>IFERROR(Table2[[#This Row],[收益额]]/Table2[[#This Row],[打新本金]],0)</f>
        <v>1.0034981756025418E-2</v>
      </c>
      <c r="M41" s="32">
        <v>1</v>
      </c>
      <c r="N41" s="2">
        <v>10</v>
      </c>
      <c r="O41" s="2">
        <f>Table2[[#This Row],[张恺霖
投资本金]]*Table2[[#This Row],[单次收益率]]*Table2[[#This Row],[结算系数]]</f>
        <v>0.10034981756025418</v>
      </c>
      <c r="P41" s="2">
        <f>Table2[[#This Row],[张恺霖
投资本金]]+Table2[[#This Row],[张恺霖
投资收益]]</f>
        <v>10.100349817560254</v>
      </c>
      <c r="Q41" s="2">
        <v>15</v>
      </c>
      <c r="R41" s="2">
        <f>Table2[[#This Row],[张忻霖
投资本金]]*Table2[[#This Row],[单次收益率]]*Table2[[#This Row],[结算系数]]</f>
        <v>0.15052472634038128</v>
      </c>
      <c r="S41" s="2">
        <f>Table2[[#This Row],[张忻霖
投资本金]]+Table2[[#This Row],[张忻霖
投资收益]]</f>
        <v>15.150524726340381</v>
      </c>
      <c r="T41" cm="1">
        <f t="array" ref="T41">_xlfn.SWITCH(Table2[[#This Row],[市场]],"HK",1,"US",7.77,"SG",6,1)</f>
        <v>1</v>
      </c>
      <c r="U41" s="3">
        <f>Table2[[#This Row],[汇率]]*Table2[[#This Row],[打新本金]]</f>
        <v>333025.02</v>
      </c>
      <c r="V41" s="3">
        <f>Table2[[#This Row],[费用合计]]*Table2[[#This Row],[汇率]]</f>
        <v>248.10000000000002</v>
      </c>
      <c r="W41" s="3">
        <f>Table2[[#This Row],[汇率]]*Table2[[#This Row],[收益额]]</f>
        <v>3341.9</v>
      </c>
    </row>
    <row r="42" spans="1:25" x14ac:dyDescent="0.4">
      <c r="A42" t="s">
        <v>63</v>
      </c>
      <c r="B42" t="s">
        <v>16</v>
      </c>
      <c r="C42" s="10">
        <v>247470.82</v>
      </c>
      <c r="D42">
        <v>250000</v>
      </c>
      <c r="E42" s="3">
        <v>100</v>
      </c>
      <c r="F42">
        <v>0</v>
      </c>
      <c r="G42" s="3"/>
      <c r="H42" s="3"/>
      <c r="I42" s="3"/>
      <c r="J42" s="3">
        <f>Table2[[#This Row],[打新费用]]+Table2[[#This Row],[交易费用]]</f>
        <v>100</v>
      </c>
      <c r="K42" s="3">
        <f>((Table2[[#This Row],[卖出价]]-Table2[[#This Row],[中签价]])*Table2[[#This Row],[中签数]]-Table2[[#This Row],[费用合计]])</f>
        <v>-100</v>
      </c>
      <c r="L42" s="5">
        <f>IFERROR(Table2[[#This Row],[收益额]]/Table2[[#This Row],[打新本金]],0)</f>
        <v>-4.0408804561281201E-4</v>
      </c>
      <c r="M42" s="32">
        <v>1</v>
      </c>
      <c r="N42" s="2"/>
      <c r="O42" s="2">
        <f>Table2[[#This Row],[张恺霖
投资本金]]*Table2[[#This Row],[单次收益率]]*Table2[[#This Row],[结算系数]]</f>
        <v>0</v>
      </c>
      <c r="P42" s="2">
        <f>Table2[[#This Row],[张恺霖
投资本金]]+Table2[[#This Row],[张恺霖
投资收益]]</f>
        <v>0</v>
      </c>
      <c r="Q42" s="2"/>
      <c r="R42" s="2">
        <f>Table2[[#This Row],[张忻霖
投资本金]]*Table2[[#This Row],[单次收益率]]*Table2[[#This Row],[结算系数]]</f>
        <v>0</v>
      </c>
      <c r="S42" s="2">
        <f>Table2[[#This Row],[张忻霖
投资本金]]+Table2[[#This Row],[张忻霖
投资收益]]</f>
        <v>0</v>
      </c>
      <c r="T42" cm="1">
        <f t="array" ref="T42">_xlfn.SWITCH(Table2[[#This Row],[市场]],"HK",1,"US",7.77,"SG",6,1)</f>
        <v>1</v>
      </c>
      <c r="U42" s="3">
        <f>Table2[[#This Row],[汇率]]*Table2[[#This Row],[打新本金]]</f>
        <v>247470.82</v>
      </c>
      <c r="V42" s="3">
        <f>Table2[[#This Row],[费用合计]]*Table2[[#This Row],[汇率]]</f>
        <v>100</v>
      </c>
      <c r="W42" s="3">
        <f>Table2[[#This Row],[汇率]]*Table2[[#This Row],[收益额]]</f>
        <v>-100</v>
      </c>
    </row>
    <row r="43" spans="1:25" x14ac:dyDescent="0.4">
      <c r="A43" t="s">
        <v>64</v>
      </c>
      <c r="B43" t="s">
        <v>16</v>
      </c>
      <c r="C43" s="10">
        <v>115392.11</v>
      </c>
      <c r="D43">
        <v>80000</v>
      </c>
      <c r="E43" s="3">
        <v>100</v>
      </c>
      <c r="F43">
        <v>0</v>
      </c>
      <c r="G43" s="3"/>
      <c r="H43" s="3"/>
      <c r="I43" s="3"/>
      <c r="J43" s="3">
        <f>Table2[[#This Row],[打新费用]]+Table2[[#This Row],[交易费用]]</f>
        <v>100</v>
      </c>
      <c r="K43" s="3">
        <f>((Table2[[#This Row],[卖出价]]-Table2[[#This Row],[中签价]])*Table2[[#This Row],[中签数]]-Table2[[#This Row],[费用合计]])</f>
        <v>-100</v>
      </c>
      <c r="L43" s="5">
        <f>IFERROR(Table2[[#This Row],[收益额]]/Table2[[#This Row],[打新本金]],0)</f>
        <v>-8.6661037743395104E-4</v>
      </c>
      <c r="M43" s="32">
        <v>1</v>
      </c>
      <c r="N43" s="2"/>
      <c r="O43" s="2">
        <f>Table2[[#This Row],[张恺霖
投资本金]]*Table2[[#This Row],[单次收益率]]*Table2[[#This Row],[结算系数]]</f>
        <v>0</v>
      </c>
      <c r="P43" s="2">
        <f>Table2[[#This Row],[张恺霖
投资本金]]+Table2[[#This Row],[张恺霖
投资收益]]</f>
        <v>0</v>
      </c>
      <c r="Q43" s="2"/>
      <c r="R43" s="2">
        <f>Table2[[#This Row],[张忻霖
投资本金]]*Table2[[#This Row],[单次收益率]]*Table2[[#This Row],[结算系数]]</f>
        <v>0</v>
      </c>
      <c r="S43" s="2">
        <f>Table2[[#This Row],[张忻霖
投资本金]]+Table2[[#This Row],[张忻霖
投资收益]]</f>
        <v>0</v>
      </c>
      <c r="T43" cm="1">
        <f t="array" ref="T43">_xlfn.SWITCH(Table2[[#This Row],[市场]],"HK",1,"US",7.77,"SG",6,1)</f>
        <v>1</v>
      </c>
      <c r="U43" s="3">
        <f>Table2[[#This Row],[汇率]]*Table2[[#This Row],[打新本金]]</f>
        <v>115392.11</v>
      </c>
      <c r="V43" s="3">
        <f>Table2[[#This Row],[费用合计]]*Table2[[#This Row],[汇率]]</f>
        <v>100</v>
      </c>
      <c r="W43" s="3">
        <f>Table2[[#This Row],[汇率]]*Table2[[#This Row],[收益额]]</f>
        <v>-100</v>
      </c>
    </row>
    <row r="44" spans="1:25" x14ac:dyDescent="0.4">
      <c r="A44" t="s">
        <v>65</v>
      </c>
      <c r="B44" t="s">
        <v>16</v>
      </c>
      <c r="C44" s="10">
        <v>7373.62</v>
      </c>
      <c r="D44">
        <v>10000</v>
      </c>
      <c r="E44" s="3">
        <v>100</v>
      </c>
      <c r="F44">
        <v>0</v>
      </c>
      <c r="G44" s="3"/>
      <c r="H44" s="3"/>
      <c r="I44" s="3"/>
      <c r="J44" s="3">
        <f>Table2[[#This Row],[打新费用]]+Table2[[#This Row],[交易费用]]</f>
        <v>100</v>
      </c>
      <c r="K44" s="3">
        <f>((Table2[[#This Row],[卖出价]]-Table2[[#This Row],[中签价]])*Table2[[#This Row],[中签数]]-Table2[[#This Row],[费用合计]])</f>
        <v>-100</v>
      </c>
      <c r="L44" s="5">
        <f>IFERROR(Table2[[#This Row],[收益额]]/Table2[[#This Row],[打新本金]],0)</f>
        <v>-1.3561859710698409E-2</v>
      </c>
      <c r="M44" s="32">
        <v>1</v>
      </c>
      <c r="N44" s="2">
        <v>10</v>
      </c>
      <c r="O44" s="2">
        <f>Table2[[#This Row],[张恺霖
投资本金]]*Table2[[#This Row],[单次收益率]]*Table2[[#This Row],[结算系数]]</f>
        <v>-0.1356185971069841</v>
      </c>
      <c r="P44" s="2">
        <f>Table2[[#This Row],[张恺霖
投资本金]]+Table2[[#This Row],[张恺霖
投资收益]]</f>
        <v>9.8643814028930166</v>
      </c>
      <c r="Q44" s="2">
        <v>20</v>
      </c>
      <c r="R44" s="2">
        <f>Table2[[#This Row],[张忻霖
投资本金]]*Table2[[#This Row],[单次收益率]]*Table2[[#This Row],[结算系数]]</f>
        <v>-0.27123719421396819</v>
      </c>
      <c r="S44" s="2">
        <f>Table2[[#This Row],[张忻霖
投资本金]]+Table2[[#This Row],[张忻霖
投资收益]]</f>
        <v>19.728762805786033</v>
      </c>
      <c r="T44" cm="1">
        <f t="array" ref="T44">_xlfn.SWITCH(Table2[[#This Row],[市场]],"HK",1,"US",7.77,"SG",6,1)</f>
        <v>1</v>
      </c>
      <c r="U44" s="3">
        <f>Table2[[#This Row],[汇率]]*Table2[[#This Row],[打新本金]]</f>
        <v>7373.62</v>
      </c>
      <c r="V44" s="3">
        <f>Table2[[#This Row],[费用合计]]*Table2[[#This Row],[汇率]]</f>
        <v>100</v>
      </c>
      <c r="W44" s="3">
        <f>Table2[[#This Row],[汇率]]*Table2[[#This Row],[收益额]]</f>
        <v>-100</v>
      </c>
    </row>
    <row r="45" spans="1:25" x14ac:dyDescent="0.4">
      <c r="A45" t="s">
        <v>66</v>
      </c>
      <c r="B45" t="s">
        <v>16</v>
      </c>
      <c r="C45" s="10">
        <v>404034</v>
      </c>
      <c r="D45">
        <v>100000</v>
      </c>
      <c r="E45" s="3">
        <v>100</v>
      </c>
      <c r="F45">
        <v>0</v>
      </c>
      <c r="G45" s="3"/>
      <c r="H45" s="3"/>
      <c r="I45" s="3"/>
      <c r="J45" s="3">
        <f>Table2[[#This Row],[打新费用]]+Table2[[#This Row],[交易费用]]</f>
        <v>100</v>
      </c>
      <c r="K45" s="3">
        <f>((Table2[[#This Row],[卖出价]]-Table2[[#This Row],[中签价]])*Table2[[#This Row],[中签数]]-Table2[[#This Row],[费用合计]])</f>
        <v>-100</v>
      </c>
      <c r="L45" s="5">
        <f>IFERROR(Table2[[#This Row],[收益额]]/Table2[[#This Row],[打新本金]],0)</f>
        <v>-2.4750392293717855E-4</v>
      </c>
      <c r="M45" s="32">
        <v>1</v>
      </c>
      <c r="N45" s="2">
        <v>10</v>
      </c>
      <c r="O45" s="2">
        <f>Table2[[#This Row],[张恺霖
投资本金]]*Table2[[#This Row],[单次收益率]]*Table2[[#This Row],[结算系数]]</f>
        <v>-2.4750392293717855E-3</v>
      </c>
      <c r="P45" s="2">
        <f>Table2[[#This Row],[张恺霖
投资本金]]+Table2[[#This Row],[张恺霖
投资收益]]</f>
        <v>9.9975249607706278</v>
      </c>
      <c r="Q45" s="2">
        <v>20</v>
      </c>
      <c r="R45" s="2">
        <f>Table2[[#This Row],[张忻霖
投资本金]]*Table2[[#This Row],[单次收益率]]*Table2[[#This Row],[结算系数]]</f>
        <v>-4.950078458743571E-3</v>
      </c>
      <c r="S45" s="2">
        <f>Table2[[#This Row],[张忻霖
投资本金]]+Table2[[#This Row],[张忻霖
投资收益]]</f>
        <v>19.995049921541256</v>
      </c>
      <c r="T45" cm="1">
        <f t="array" ref="T45">_xlfn.SWITCH(Table2[[#This Row],[市场]],"HK",1,"US",7.77,"SG",6,1)</f>
        <v>1</v>
      </c>
      <c r="U45" s="3">
        <f>Table2[[#This Row],[汇率]]*Table2[[#This Row],[打新本金]]</f>
        <v>404034</v>
      </c>
      <c r="V45" s="3">
        <f>Table2[[#This Row],[费用合计]]*Table2[[#This Row],[汇率]]</f>
        <v>100</v>
      </c>
      <c r="W45" s="3">
        <f>Table2[[#This Row],[汇率]]*Table2[[#This Row],[收益额]]</f>
        <v>-100</v>
      </c>
    </row>
    <row r="46" spans="1:25" x14ac:dyDescent="0.4">
      <c r="A46" t="s">
        <v>67</v>
      </c>
      <c r="B46" t="s">
        <v>16</v>
      </c>
      <c r="C46" s="10">
        <v>358509.58</v>
      </c>
      <c r="D46">
        <v>60000</v>
      </c>
      <c r="E46" s="3">
        <v>450.96</v>
      </c>
      <c r="F46">
        <v>600</v>
      </c>
      <c r="G46" s="3">
        <v>58</v>
      </c>
      <c r="H46" s="3">
        <v>48.8</v>
      </c>
      <c r="I46" s="3">
        <v>57.2</v>
      </c>
      <c r="J46" s="3">
        <f>Table2[[#This Row],[打新费用]]+Table2[[#This Row],[交易费用]]</f>
        <v>508.15999999999997</v>
      </c>
      <c r="K46" s="3">
        <f>((Table2[[#This Row],[卖出价]]-Table2[[#This Row],[中签价]])*Table2[[#This Row],[中签数]]-Table2[[#This Row],[费用合计]])</f>
        <v>-6028.1600000000017</v>
      </c>
      <c r="L46" s="5">
        <f>IFERROR(Table2[[#This Row],[收益额]]/Table2[[#This Row],[打新本金]],0)</f>
        <v>-1.6814501860731312E-2</v>
      </c>
      <c r="M46" s="32">
        <v>1</v>
      </c>
      <c r="N46" s="2"/>
      <c r="O46" s="2">
        <f>Table2[[#This Row],[张恺霖
投资本金]]*Table2[[#This Row],[单次收益率]]*Table2[[#This Row],[结算系数]]</f>
        <v>0</v>
      </c>
      <c r="P46" s="2">
        <f>Table2[[#This Row],[张恺霖
投资本金]]+Table2[[#This Row],[张恺霖
投资收益]]</f>
        <v>0</v>
      </c>
      <c r="Q46" s="2"/>
      <c r="R46" s="2">
        <f>Table2[[#This Row],[张忻霖
投资本金]]*Table2[[#This Row],[单次收益率]]*Table2[[#This Row],[结算系数]]</f>
        <v>0</v>
      </c>
      <c r="S46" s="2">
        <f>Table2[[#This Row],[张忻霖
投资本金]]+Table2[[#This Row],[张忻霖
投资收益]]</f>
        <v>0</v>
      </c>
      <c r="T46" cm="1">
        <f t="array" ref="T46">_xlfn.SWITCH(Table2[[#This Row],[市场]],"HK",1,"US",7.77,"SG",6,1)</f>
        <v>1</v>
      </c>
      <c r="U46" s="3">
        <f>Table2[[#This Row],[汇率]]*Table2[[#This Row],[打新本金]]</f>
        <v>358509.58</v>
      </c>
      <c r="V46" s="3">
        <f>Table2[[#This Row],[费用合计]]*Table2[[#This Row],[汇率]]</f>
        <v>508.15999999999997</v>
      </c>
      <c r="W46" s="3">
        <f>Table2[[#This Row],[汇率]]*Table2[[#This Row],[收益额]]</f>
        <v>-6028.1600000000017</v>
      </c>
    </row>
    <row r="47" spans="1:25" x14ac:dyDescent="0.4">
      <c r="A47" t="s">
        <v>68</v>
      </c>
      <c r="B47" t="s">
        <v>16</v>
      </c>
      <c r="C47" s="10">
        <v>58584.93</v>
      </c>
      <c r="D47">
        <v>200</v>
      </c>
      <c r="E47" s="10">
        <v>333.97</v>
      </c>
      <c r="F47">
        <v>200</v>
      </c>
      <c r="G47" s="3">
        <v>116</v>
      </c>
      <c r="H47" s="3">
        <v>100</v>
      </c>
      <c r="I47" s="3">
        <v>43.34</v>
      </c>
      <c r="J47" s="3">
        <f>Table2[[#This Row],[打新费用]]+Table2[[#This Row],[交易费用]]</f>
        <v>377.31000000000006</v>
      </c>
      <c r="K47" s="3">
        <f>((Table2[[#This Row],[卖出价]]-Table2[[#This Row],[中签价]])*Table2[[#This Row],[中签数]]-Table2[[#This Row],[费用合计]])</f>
        <v>-3577.31</v>
      </c>
      <c r="L47" s="5">
        <f>IFERROR(Table2[[#This Row],[收益额]]/Table2[[#This Row],[打新本金]],0)</f>
        <v>-6.1061948866372291E-2</v>
      </c>
      <c r="M47" s="32">
        <v>1</v>
      </c>
      <c r="N47" s="2"/>
      <c r="O47" s="2">
        <f>Table2[[#This Row],[张恺霖
投资本金]]*Table2[[#This Row],[单次收益率]]*Table2[[#This Row],[结算系数]]</f>
        <v>0</v>
      </c>
      <c r="P47" s="2">
        <f>Table2[[#This Row],[张恺霖
投资本金]]+Table2[[#This Row],[张恺霖
投资收益]]</f>
        <v>0</v>
      </c>
      <c r="Q47" s="2"/>
      <c r="R47" s="2">
        <f>Table2[[#This Row],[张忻霖
投资本金]]*Table2[[#This Row],[单次收益率]]*Table2[[#This Row],[结算系数]]</f>
        <v>0</v>
      </c>
      <c r="S47" s="2">
        <f>Table2[[#This Row],[张忻霖
投资本金]]+Table2[[#This Row],[张忻霖
投资收益]]</f>
        <v>0</v>
      </c>
      <c r="T47" cm="1">
        <f t="array" ref="T47">_xlfn.SWITCH(Table2[[#This Row],[市场]],"HK",1,"US",7.77,"SG",6,1)</f>
        <v>1</v>
      </c>
      <c r="U47" s="3">
        <f>Table2[[#This Row],[汇率]]*Table2[[#This Row],[打新本金]]</f>
        <v>58584.93</v>
      </c>
      <c r="V47" s="3">
        <f>Table2[[#This Row],[费用合计]]*Table2[[#This Row],[汇率]]</f>
        <v>377.31000000000006</v>
      </c>
      <c r="W47" s="3">
        <f>Table2[[#This Row],[汇率]]*Table2[[#This Row],[收益额]]</f>
        <v>-3577.31</v>
      </c>
    </row>
    <row r="48" spans="1:25" x14ac:dyDescent="0.4">
      <c r="A48" t="s">
        <v>69</v>
      </c>
      <c r="B48" t="s">
        <v>16</v>
      </c>
      <c r="C48" s="10">
        <v>266460.42</v>
      </c>
      <c r="D48">
        <v>100000</v>
      </c>
      <c r="E48" s="10">
        <v>100</v>
      </c>
      <c r="F48">
        <v>0</v>
      </c>
      <c r="G48" s="3"/>
      <c r="H48" s="3"/>
      <c r="I48" s="3"/>
      <c r="J48" s="3">
        <f>Table2[[#This Row],[打新费用]]+Table2[[#This Row],[交易费用]]</f>
        <v>100</v>
      </c>
      <c r="K48" s="3">
        <f>((Table2[[#This Row],[卖出价]]-Table2[[#This Row],[中签价]])*Table2[[#This Row],[中签数]]-Table2[[#This Row],[费用合计]])</f>
        <v>-100</v>
      </c>
      <c r="L48" s="5">
        <f>IFERROR(Table2[[#This Row],[收益额]]/Table2[[#This Row],[打新本金]],0)</f>
        <v>-3.7529025886846537E-4</v>
      </c>
      <c r="M48" s="32">
        <v>1</v>
      </c>
      <c r="N48" s="2"/>
      <c r="O48" s="2">
        <f>Table2[[#This Row],[张恺霖
投资本金]]*Table2[[#This Row],[单次收益率]]*Table2[[#This Row],[结算系数]]</f>
        <v>0</v>
      </c>
      <c r="P48" s="2">
        <f>Table2[[#This Row],[张恺霖
投资本金]]+Table2[[#This Row],[张恺霖
投资收益]]</f>
        <v>0</v>
      </c>
      <c r="Q48" s="2"/>
      <c r="R48" s="2">
        <f>Table2[[#This Row],[张忻霖
投资本金]]*Table2[[#This Row],[单次收益率]]*Table2[[#This Row],[结算系数]]</f>
        <v>0</v>
      </c>
      <c r="S48" s="2">
        <f>Table2[[#This Row],[张忻霖
投资本金]]+Table2[[#This Row],[张忻霖
投资收益]]</f>
        <v>0</v>
      </c>
      <c r="T48" cm="1">
        <f t="array" ref="T48">_xlfn.SWITCH(Table2[[#This Row],[市场]],"HK",1,"US",7.77,"SG",6,1)</f>
        <v>1</v>
      </c>
      <c r="U48" s="3">
        <f>Table2[[#This Row],[汇率]]*Table2[[#This Row],[打新本金]]</f>
        <v>266460.42</v>
      </c>
      <c r="V48" s="3">
        <f>Table2[[#This Row],[费用合计]]*Table2[[#This Row],[汇率]]</f>
        <v>100</v>
      </c>
      <c r="W48" s="3">
        <f>Table2[[#This Row],[汇率]]*Table2[[#This Row],[收益额]]</f>
        <v>-100</v>
      </c>
    </row>
    <row r="49" spans="1:23" x14ac:dyDescent="0.4">
      <c r="A49" t="s">
        <v>70</v>
      </c>
      <c r="B49" t="s">
        <v>16</v>
      </c>
      <c r="C49" s="10">
        <v>125250.54</v>
      </c>
      <c r="D49">
        <v>80000</v>
      </c>
      <c r="E49" s="10">
        <v>213.76</v>
      </c>
      <c r="F49">
        <v>800</v>
      </c>
      <c r="G49" s="3">
        <v>14.1</v>
      </c>
      <c r="H49" s="3">
        <v>14.04</v>
      </c>
      <c r="I49" s="3">
        <v>31.68</v>
      </c>
      <c r="J49" s="3">
        <f>Table2[[#This Row],[打新费用]]+Table2[[#This Row],[交易费用]]</f>
        <v>245.44</v>
      </c>
      <c r="K49" s="3">
        <f>((Table2[[#This Row],[卖出价]]-Table2[[#This Row],[中签价]])*Table2[[#This Row],[中签数]]-Table2[[#This Row],[费用合计]])</f>
        <v>-293.4400000000004</v>
      </c>
      <c r="L49" s="5">
        <f>IFERROR(Table2[[#This Row],[收益额]]/Table2[[#This Row],[打新本金]],0)</f>
        <v>-2.3428242305382507E-3</v>
      </c>
      <c r="M49" s="32">
        <v>1</v>
      </c>
      <c r="N49" s="2"/>
      <c r="O49" s="2">
        <f>Table2[[#This Row],[张恺霖
投资本金]]*Table2[[#This Row],[单次收益率]]*Table2[[#This Row],[结算系数]]</f>
        <v>0</v>
      </c>
      <c r="P49" s="2">
        <f>Table2[[#This Row],[张恺霖
投资本金]]+Table2[[#This Row],[张恺霖
投资收益]]</f>
        <v>0</v>
      </c>
      <c r="Q49" s="2"/>
      <c r="R49" s="2">
        <f>Table2[[#This Row],[张忻霖
投资本金]]*Table2[[#This Row],[单次收益率]]*Table2[[#This Row],[结算系数]]</f>
        <v>0</v>
      </c>
      <c r="S49" s="2">
        <f>Table2[[#This Row],[张忻霖
投资本金]]+Table2[[#This Row],[张忻霖
投资收益]]</f>
        <v>0</v>
      </c>
      <c r="T49" cm="1">
        <f t="array" ref="T49">_xlfn.SWITCH(Table2[[#This Row],[市场]],"HK",1,"US",7.77,"SG",6,1)</f>
        <v>1</v>
      </c>
      <c r="U49" s="3">
        <f>Table2[[#This Row],[汇率]]*Table2[[#This Row],[打新本金]]</f>
        <v>125250.54</v>
      </c>
      <c r="V49" s="3">
        <f>Table2[[#This Row],[费用合计]]*Table2[[#This Row],[汇率]]</f>
        <v>245.44</v>
      </c>
      <c r="W49" s="3">
        <f>Table2[[#This Row],[汇率]]*Table2[[#This Row],[收益额]]</f>
        <v>-293.4400000000004</v>
      </c>
    </row>
    <row r="50" spans="1:23" x14ac:dyDescent="0.4">
      <c r="A50" t="s">
        <v>71</v>
      </c>
      <c r="B50" t="s">
        <v>16</v>
      </c>
      <c r="C50" s="10">
        <v>323227.2</v>
      </c>
      <c r="D50">
        <v>100000</v>
      </c>
      <c r="E50" s="10">
        <v>100</v>
      </c>
      <c r="F50">
        <v>0</v>
      </c>
      <c r="G50" s="3"/>
      <c r="H50" s="3"/>
      <c r="I50" s="3"/>
      <c r="J50" s="3">
        <f>Table2[[#This Row],[打新费用]]+Table2[[#This Row],[交易费用]]</f>
        <v>100</v>
      </c>
      <c r="K50" s="3">
        <f>((Table2[[#This Row],[卖出价]]-Table2[[#This Row],[中签价]])*Table2[[#This Row],[中签数]]-Table2[[#This Row],[费用合计]])</f>
        <v>-100</v>
      </c>
      <c r="L50" s="5">
        <f>IFERROR(Table2[[#This Row],[收益额]]/Table2[[#This Row],[打新本金]],0)</f>
        <v>-3.0937990367147319E-4</v>
      </c>
      <c r="M50" s="32">
        <v>1</v>
      </c>
      <c r="N50" s="2"/>
      <c r="O50" s="2">
        <f>Table2[[#This Row],[张恺霖
投资本金]]*Table2[[#This Row],[单次收益率]]*Table2[[#This Row],[结算系数]]</f>
        <v>0</v>
      </c>
      <c r="P50" s="2">
        <f>Table2[[#This Row],[张恺霖
投资本金]]+Table2[[#This Row],[张恺霖
投资收益]]</f>
        <v>0</v>
      </c>
      <c r="Q50" s="2"/>
      <c r="R50" s="2">
        <f>Table2[[#This Row],[张忻霖
投资本金]]*Table2[[#This Row],[单次收益率]]*Table2[[#This Row],[结算系数]]</f>
        <v>0</v>
      </c>
      <c r="S50" s="2">
        <f>Table2[[#This Row],[张忻霖
投资本金]]+Table2[[#This Row],[张忻霖
投资收益]]</f>
        <v>0</v>
      </c>
      <c r="T50" cm="1">
        <f t="array" ref="T50">_xlfn.SWITCH(Table2[[#This Row],[市场]],"HK",1,"US",7.77,"SG",6,1)</f>
        <v>1</v>
      </c>
      <c r="U50" s="3">
        <f>Table2[[#This Row],[汇率]]*Table2[[#This Row],[打新本金]]</f>
        <v>323227.2</v>
      </c>
      <c r="V50" s="3">
        <f>Table2[[#This Row],[费用合计]]*Table2[[#This Row],[汇率]]</f>
        <v>100</v>
      </c>
      <c r="W50" s="3">
        <f>Table2[[#This Row],[汇率]]*Table2[[#This Row],[收益额]]</f>
        <v>-100</v>
      </c>
    </row>
    <row r="51" spans="1:23" x14ac:dyDescent="0.4">
      <c r="A51" t="s">
        <v>72</v>
      </c>
      <c r="B51" t="s">
        <v>16</v>
      </c>
      <c r="C51" s="10">
        <v>229087.28</v>
      </c>
      <c r="D51">
        <v>100000</v>
      </c>
      <c r="E51" s="10">
        <v>100</v>
      </c>
      <c r="F51">
        <v>0</v>
      </c>
      <c r="G51" s="3"/>
      <c r="H51" s="3"/>
      <c r="I51" s="3"/>
      <c r="J51" s="3">
        <f>Table2[[#This Row],[打新费用]]+Table2[[#This Row],[交易费用]]</f>
        <v>100</v>
      </c>
      <c r="K51" s="3">
        <f>((Table2[[#This Row],[卖出价]]-Table2[[#This Row],[中签价]])*Table2[[#This Row],[中签数]]-Table2[[#This Row],[费用合计]])</f>
        <v>-100</v>
      </c>
      <c r="L51" s="5">
        <f>IFERROR(Table2[[#This Row],[收益额]]/Table2[[#This Row],[打新本金]],0)</f>
        <v>-4.3651485145748816E-4</v>
      </c>
      <c r="M51" s="32">
        <v>1</v>
      </c>
      <c r="N51" s="2"/>
      <c r="O51" s="2">
        <f>Table2[[#This Row],[张恺霖
投资本金]]*Table2[[#This Row],[单次收益率]]*Table2[[#This Row],[结算系数]]</f>
        <v>0</v>
      </c>
      <c r="P51" s="2">
        <f>Table2[[#This Row],[张恺霖
投资本金]]+Table2[[#This Row],[张恺霖
投资收益]]</f>
        <v>0</v>
      </c>
      <c r="Q51" s="2"/>
      <c r="R51" s="2">
        <f>Table2[[#This Row],[张忻霖
投资本金]]*Table2[[#This Row],[单次收益率]]*Table2[[#This Row],[结算系数]]</f>
        <v>0</v>
      </c>
      <c r="S51" s="2">
        <f>Table2[[#This Row],[张忻霖
投资本金]]+Table2[[#This Row],[张忻霖
投资收益]]</f>
        <v>0</v>
      </c>
      <c r="T51" cm="1">
        <f t="array" ref="T51">_xlfn.SWITCH(Table2[[#This Row],[市场]],"HK",1,"US",7.77,"SG",6,1)</f>
        <v>1</v>
      </c>
      <c r="U51" s="3">
        <f>Table2[[#This Row],[汇率]]*Table2[[#This Row],[打新本金]]</f>
        <v>229087.28</v>
      </c>
      <c r="V51" s="3">
        <f>Table2[[#This Row],[费用合计]]*Table2[[#This Row],[汇率]]</f>
        <v>100</v>
      </c>
      <c r="W51" s="3">
        <f>Table2[[#This Row],[汇率]]*Table2[[#This Row],[收益额]]</f>
        <v>-100</v>
      </c>
    </row>
    <row r="52" spans="1:23" x14ac:dyDescent="0.4">
      <c r="A52" t="s">
        <v>73</v>
      </c>
      <c r="B52" t="s">
        <v>16</v>
      </c>
      <c r="C52" s="10">
        <v>64241.41</v>
      </c>
      <c r="D52">
        <v>6000</v>
      </c>
      <c r="E52" s="10">
        <v>100</v>
      </c>
      <c r="F52">
        <v>0</v>
      </c>
      <c r="G52" s="3"/>
      <c r="H52" s="3"/>
      <c r="I52" s="3"/>
      <c r="J52" s="3">
        <f>Table2[[#This Row],[打新费用]]+Table2[[#This Row],[交易费用]]</f>
        <v>100</v>
      </c>
      <c r="K52" s="3">
        <f>((Table2[[#This Row],[卖出价]]-Table2[[#This Row],[中签价]])*Table2[[#This Row],[中签数]]-Table2[[#This Row],[费用合计]])</f>
        <v>-100</v>
      </c>
      <c r="L52" s="5">
        <f>IFERROR(Table2[[#This Row],[收益额]]/Table2[[#This Row],[打新本金]],0)</f>
        <v>-1.5566283492220983E-3</v>
      </c>
      <c r="M52" s="32">
        <v>1</v>
      </c>
      <c r="N52" s="2"/>
      <c r="O52" s="2">
        <f>Table2[[#This Row],[张恺霖
投资本金]]*Table2[[#This Row],[单次收益率]]*Table2[[#This Row],[结算系数]]</f>
        <v>0</v>
      </c>
      <c r="P52" s="2">
        <f>Table2[[#This Row],[张恺霖
投资本金]]+Table2[[#This Row],[张恺霖
投资收益]]</f>
        <v>0</v>
      </c>
      <c r="Q52" s="2"/>
      <c r="R52" s="2">
        <f>Table2[[#This Row],[张忻霖
投资本金]]*Table2[[#This Row],[单次收益率]]*Table2[[#This Row],[结算系数]]</f>
        <v>0</v>
      </c>
      <c r="S52" s="2">
        <f>Table2[[#This Row],[张忻霖
投资本金]]+Table2[[#This Row],[张忻霖
投资收益]]</f>
        <v>0</v>
      </c>
      <c r="T52" cm="1">
        <f t="array" ref="T52">_xlfn.SWITCH(Table2[[#This Row],[市场]],"HK",1,"US",7.77,"SG",6,1)</f>
        <v>1</v>
      </c>
      <c r="U52" s="3">
        <f>Table2[[#This Row],[汇率]]*Table2[[#This Row],[打新本金]]</f>
        <v>64241.41</v>
      </c>
      <c r="V52" s="3">
        <f>Table2[[#This Row],[费用合计]]*Table2[[#This Row],[汇率]]</f>
        <v>100</v>
      </c>
      <c r="W52" s="3">
        <f>Table2[[#This Row],[汇率]]*Table2[[#This Row],[收益额]]</f>
        <v>-100</v>
      </c>
    </row>
    <row r="53" spans="1:23" x14ac:dyDescent="0.4">
      <c r="A53" t="s">
        <v>74</v>
      </c>
      <c r="B53" t="s">
        <v>16</v>
      </c>
      <c r="C53" s="10">
        <v>485850.88</v>
      </c>
      <c r="D53">
        <v>200000</v>
      </c>
      <c r="E53" s="10">
        <v>100</v>
      </c>
      <c r="F53">
        <v>0</v>
      </c>
      <c r="G53" s="3"/>
      <c r="H53" s="3"/>
      <c r="I53" s="3"/>
      <c r="J53" s="3">
        <f>Table2[[#This Row],[打新费用]]+Table2[[#This Row],[交易费用]]</f>
        <v>100</v>
      </c>
      <c r="K53" s="3">
        <f>((Table2[[#This Row],[卖出价]]-Table2[[#This Row],[中签价]])*Table2[[#This Row],[中签数]]-Table2[[#This Row],[费用合计]])</f>
        <v>-100</v>
      </c>
      <c r="L53" s="5">
        <f>IFERROR(Table2[[#This Row],[收益额]]/Table2[[#This Row],[打新本金]],0)</f>
        <v>-2.0582447025721144E-4</v>
      </c>
      <c r="M53" s="32">
        <v>1</v>
      </c>
      <c r="N53" s="2"/>
      <c r="O53" s="2">
        <f>Table2[[#This Row],[张恺霖
投资本金]]*Table2[[#This Row],[单次收益率]]*Table2[[#This Row],[结算系数]]</f>
        <v>0</v>
      </c>
      <c r="P53" s="2">
        <f>Table2[[#This Row],[张恺霖
投资本金]]+Table2[[#This Row],[张恺霖
投资收益]]</f>
        <v>0</v>
      </c>
      <c r="Q53" s="2"/>
      <c r="R53" s="2">
        <f>Table2[[#This Row],[张忻霖
投资本金]]*Table2[[#This Row],[单次收益率]]*Table2[[#This Row],[结算系数]]</f>
        <v>0</v>
      </c>
      <c r="S53" s="2">
        <f>Table2[[#This Row],[张忻霖
投资本金]]+Table2[[#This Row],[张忻霖
投资收益]]</f>
        <v>0</v>
      </c>
      <c r="T53" cm="1">
        <f t="array" ref="T53">_xlfn.SWITCH(Table2[[#This Row],[市场]],"HK",1,"US",7.77,"SG",6,1)</f>
        <v>1</v>
      </c>
      <c r="U53" s="3">
        <f>Table2[[#This Row],[汇率]]*Table2[[#This Row],[打新本金]]</f>
        <v>485850.88</v>
      </c>
      <c r="V53" s="3">
        <f>Table2[[#This Row],[费用合计]]*Table2[[#This Row],[汇率]]</f>
        <v>100</v>
      </c>
      <c r="W53" s="3">
        <f>Table2[[#This Row],[汇率]]*Table2[[#This Row],[收益额]]</f>
        <v>-100</v>
      </c>
    </row>
    <row r="54" spans="1:23" x14ac:dyDescent="0.4">
      <c r="A54" t="s">
        <v>75</v>
      </c>
      <c r="B54" t="s">
        <v>16</v>
      </c>
      <c r="C54" s="10">
        <v>70698.880000000005</v>
      </c>
      <c r="D54">
        <v>9000</v>
      </c>
      <c r="E54" s="10">
        <v>139.22</v>
      </c>
      <c r="F54">
        <v>50</v>
      </c>
      <c r="G54" s="3">
        <v>77.77</v>
      </c>
      <c r="H54" s="3">
        <v>85</v>
      </c>
      <c r="I54" s="3">
        <v>21.77</v>
      </c>
      <c r="J54" s="3">
        <f>Table2[[#This Row],[打新费用]]+Table2[[#This Row],[交易费用]]</f>
        <v>160.99</v>
      </c>
      <c r="K54" s="3">
        <f>((Table2[[#This Row],[卖出价]]-Table2[[#This Row],[中签价]])*Table2[[#This Row],[中签数]]-Table2[[#This Row],[费用合计]])</f>
        <v>200.51000000000022</v>
      </c>
      <c r="L54" s="5">
        <f>IFERROR(Table2[[#This Row],[收益额]]/Table2[[#This Row],[打新本金]],0)</f>
        <v>2.8361128210234758E-3</v>
      </c>
      <c r="M54" s="32">
        <v>1</v>
      </c>
      <c r="N54" s="2"/>
      <c r="O54" s="2">
        <f>Table2[[#This Row],[张恺霖
投资本金]]*Table2[[#This Row],[单次收益率]]*Table2[[#This Row],[结算系数]]</f>
        <v>0</v>
      </c>
      <c r="P54" s="2">
        <f>Table2[[#This Row],[张恺霖
投资本金]]+Table2[[#This Row],[张恺霖
投资收益]]</f>
        <v>0</v>
      </c>
      <c r="Q54" s="2"/>
      <c r="R54" s="2">
        <f>Table2[[#This Row],[张忻霖
投资本金]]*Table2[[#This Row],[单次收益率]]*Table2[[#This Row],[结算系数]]</f>
        <v>0</v>
      </c>
      <c r="S54" s="2">
        <f>Table2[[#This Row],[张忻霖
投资本金]]+Table2[[#This Row],[张忻霖
投资收益]]</f>
        <v>0</v>
      </c>
      <c r="T54" cm="1">
        <f t="array" ref="T54">_xlfn.SWITCH(Table2[[#This Row],[市场]],"HK",1,"US",7.77,"SG",6,1)</f>
        <v>1</v>
      </c>
      <c r="U54" s="3">
        <f>Table2[[#This Row],[汇率]]*Table2[[#This Row],[打新本金]]</f>
        <v>70698.880000000005</v>
      </c>
      <c r="V54" s="3">
        <f>Table2[[#This Row],[费用合计]]*Table2[[#This Row],[汇率]]</f>
        <v>160.99</v>
      </c>
      <c r="W54" s="3">
        <f>Table2[[#This Row],[汇率]]*Table2[[#This Row],[收益额]]</f>
        <v>200.51000000000022</v>
      </c>
    </row>
    <row r="55" spans="1:23" x14ac:dyDescent="0.4">
      <c r="A55" t="s">
        <v>76</v>
      </c>
      <c r="B55" t="s">
        <v>16</v>
      </c>
      <c r="C55" s="10">
        <v>57271.82</v>
      </c>
      <c r="D55">
        <v>7000</v>
      </c>
      <c r="E55" s="10">
        <v>174.43</v>
      </c>
      <c r="F55">
        <v>100</v>
      </c>
      <c r="G55" s="3">
        <v>73.8</v>
      </c>
      <c r="H55" s="3">
        <v>73.849999999999994</v>
      </c>
      <c r="I55" s="3">
        <v>26.09</v>
      </c>
      <c r="J55" s="3">
        <f>Table2[[#This Row],[打新费用]]+Table2[[#This Row],[交易费用]]</f>
        <v>200.52</v>
      </c>
      <c r="K55" s="3">
        <f>((Table2[[#This Row],[卖出价]]-Table2[[#This Row],[中签价]])*Table2[[#This Row],[中签数]]-Table2[[#This Row],[费用合计]])</f>
        <v>-195.52000000000029</v>
      </c>
      <c r="L55" s="5">
        <f>IFERROR(Table2[[#This Row],[收益额]]/Table2[[#This Row],[打新本金]],0)</f>
        <v>-3.4138953502787285E-3</v>
      </c>
      <c r="M55" s="32">
        <v>1</v>
      </c>
      <c r="N55" s="2"/>
      <c r="O55" s="2">
        <f>Table2[[#This Row],[张恺霖
投资本金]]*Table2[[#This Row],[单次收益率]]*Table2[[#This Row],[结算系数]]</f>
        <v>0</v>
      </c>
      <c r="P55" s="2">
        <f>Table2[[#This Row],[张恺霖
投资本金]]+Table2[[#This Row],[张恺霖
投资收益]]</f>
        <v>0</v>
      </c>
      <c r="Q55" s="2"/>
      <c r="R55" s="2">
        <f>Table2[[#This Row],[张忻霖
投资本金]]*Table2[[#This Row],[单次收益率]]*Table2[[#This Row],[结算系数]]</f>
        <v>0</v>
      </c>
      <c r="S55" s="2">
        <f>Table2[[#This Row],[张忻霖
投资本金]]+Table2[[#This Row],[张忻霖
投资收益]]</f>
        <v>0</v>
      </c>
      <c r="T55" cm="1">
        <f t="array" ref="T55">_xlfn.SWITCH(Table2[[#This Row],[市场]],"HK",1,"US",7.77,"SG",6,1)</f>
        <v>1</v>
      </c>
      <c r="U55" s="3">
        <f>Table2[[#This Row],[汇率]]*Table2[[#This Row],[打新本金]]</f>
        <v>57271.82</v>
      </c>
      <c r="V55" s="3">
        <f>Table2[[#This Row],[费用合计]]*Table2[[#This Row],[汇率]]</f>
        <v>200.52</v>
      </c>
      <c r="W55" s="3">
        <f>Table2[[#This Row],[汇率]]*Table2[[#This Row],[收益额]]</f>
        <v>-195.52000000000029</v>
      </c>
    </row>
    <row r="56" spans="1:23" x14ac:dyDescent="0.4">
      <c r="A56" t="s">
        <v>77</v>
      </c>
      <c r="B56" t="s">
        <v>16</v>
      </c>
      <c r="C56" s="10">
        <v>9242.2800000000007</v>
      </c>
      <c r="D56">
        <v>3000</v>
      </c>
      <c r="E56" s="10">
        <v>100</v>
      </c>
      <c r="F56">
        <v>0</v>
      </c>
      <c r="G56" s="3"/>
      <c r="H56" s="3"/>
      <c r="I56" s="3"/>
      <c r="J56" s="3">
        <f>Table2[[#This Row],[打新费用]]+Table2[[#This Row],[交易费用]]</f>
        <v>100</v>
      </c>
      <c r="K56" s="3">
        <f>((Table2[[#This Row],[卖出价]]-Table2[[#This Row],[中签价]])*Table2[[#This Row],[中签数]]-Table2[[#This Row],[费用合计]])</f>
        <v>-100</v>
      </c>
      <c r="L56" s="5">
        <f>IFERROR(Table2[[#This Row],[收益额]]/Table2[[#This Row],[打新本金]],0)</f>
        <v>-1.0819840991616786E-2</v>
      </c>
      <c r="M56" s="32">
        <v>1</v>
      </c>
      <c r="N56" s="2"/>
      <c r="O56" s="2">
        <f>Table2[[#This Row],[张恺霖
投资本金]]*Table2[[#This Row],[单次收益率]]*Table2[[#This Row],[结算系数]]</f>
        <v>0</v>
      </c>
      <c r="P56" s="2">
        <f>Table2[[#This Row],[张恺霖
投资本金]]+Table2[[#This Row],[张恺霖
投资收益]]</f>
        <v>0</v>
      </c>
      <c r="Q56" s="2"/>
      <c r="R56" s="2">
        <f>Table2[[#This Row],[张忻霖
投资本金]]*Table2[[#This Row],[单次收益率]]*Table2[[#This Row],[结算系数]]</f>
        <v>0</v>
      </c>
      <c r="S56" s="2">
        <f>Table2[[#This Row],[张忻霖
投资本金]]+Table2[[#This Row],[张忻霖
投资收益]]</f>
        <v>0</v>
      </c>
      <c r="T56" cm="1">
        <f t="array" ref="T56">_xlfn.SWITCH(Table2[[#This Row],[市场]],"HK",1,"US",7.77,"SG",6,1)</f>
        <v>1</v>
      </c>
      <c r="U56" s="3">
        <f>Table2[[#This Row],[汇率]]*Table2[[#This Row],[打新本金]]</f>
        <v>9242.2800000000007</v>
      </c>
      <c r="V56" s="3">
        <f>Table2[[#This Row],[费用合计]]*Table2[[#This Row],[汇率]]</f>
        <v>100</v>
      </c>
      <c r="W56" s="3">
        <f>Table2[[#This Row],[汇率]]*Table2[[#This Row],[收益额]]</f>
        <v>-100</v>
      </c>
    </row>
    <row r="57" spans="1:23" x14ac:dyDescent="0.4">
      <c r="A57" t="s">
        <v>78</v>
      </c>
      <c r="B57" t="s">
        <v>16</v>
      </c>
      <c r="C57" s="10">
        <v>593929.98</v>
      </c>
      <c r="D57">
        <v>300000</v>
      </c>
      <c r="E57" s="10">
        <v>218.6</v>
      </c>
      <c r="F57">
        <v>600</v>
      </c>
      <c r="G57" s="3">
        <v>19.600000000000001</v>
      </c>
      <c r="H57" s="3">
        <v>35.159999999999997</v>
      </c>
      <c r="I57" s="3">
        <v>46.8</v>
      </c>
      <c r="J57" s="3">
        <f>Table2[[#This Row],[打新费用]]+Table2[[#This Row],[交易费用]]</f>
        <v>265.39999999999998</v>
      </c>
      <c r="K57" s="3">
        <f>((Table2[[#This Row],[卖出价]]-Table2[[#This Row],[中签价]])*Table2[[#This Row],[中签数]]-Table2[[#This Row],[费用合计]])</f>
        <v>9070.5999999999967</v>
      </c>
      <c r="L57" s="5">
        <f>IFERROR(Table2[[#This Row],[收益额]]/Table2[[#This Row],[打新本金]],0)</f>
        <v>1.5272170635333137E-2</v>
      </c>
      <c r="M57" s="32">
        <v>1</v>
      </c>
      <c r="N57" s="2"/>
      <c r="O57" s="2">
        <f>Table2[[#This Row],[张恺霖
投资本金]]*Table2[[#This Row],[单次收益率]]*Table2[[#This Row],[结算系数]]</f>
        <v>0</v>
      </c>
      <c r="P57" s="2">
        <f>Table2[[#This Row],[张恺霖
投资本金]]+Table2[[#This Row],[张恺霖
投资收益]]</f>
        <v>0</v>
      </c>
      <c r="Q57" s="2"/>
      <c r="R57" s="2">
        <f>Table2[[#This Row],[张忻霖
投资本金]]*Table2[[#This Row],[单次收益率]]*Table2[[#This Row],[结算系数]]</f>
        <v>0</v>
      </c>
      <c r="S57" s="2">
        <f>Table2[[#This Row],[张忻霖
投资本金]]+Table2[[#This Row],[张忻霖
投资收益]]</f>
        <v>0</v>
      </c>
      <c r="T57" cm="1">
        <f t="array" ref="T57">_xlfn.SWITCH(Table2[[#This Row],[市场]],"HK",1,"US",7.77,"SG",6,1)</f>
        <v>1</v>
      </c>
      <c r="U57" s="3">
        <f>Table2[[#This Row],[汇率]]*Table2[[#This Row],[打新本金]]</f>
        <v>593929.98</v>
      </c>
      <c r="V57" s="3">
        <f>Table2[[#This Row],[费用合计]]*Table2[[#This Row],[汇率]]</f>
        <v>265.39999999999998</v>
      </c>
      <c r="W57" s="3">
        <f>Table2[[#This Row],[汇率]]*Table2[[#This Row],[收益额]]</f>
        <v>9070.5999999999967</v>
      </c>
    </row>
    <row r="58" spans="1:23" x14ac:dyDescent="0.4">
      <c r="A58" t="s">
        <v>79</v>
      </c>
      <c r="B58" t="s">
        <v>16</v>
      </c>
      <c r="C58" s="24">
        <v>83332.009999999995</v>
      </c>
      <c r="D58">
        <v>5000</v>
      </c>
      <c r="E58" s="24">
        <v>133.28</v>
      </c>
      <c r="F58">
        <v>20</v>
      </c>
      <c r="G58" s="3">
        <v>165</v>
      </c>
      <c r="H58" s="3">
        <v>208.8</v>
      </c>
      <c r="I58" s="3">
        <v>21.75</v>
      </c>
      <c r="J58" s="3">
        <f>Table2[[#This Row],[打新费用]]+Table2[[#This Row],[交易费用]]</f>
        <v>155.03</v>
      </c>
      <c r="K58" s="3">
        <f>((Table2[[#This Row],[卖出价]]-Table2[[#This Row],[中签价]])*Table2[[#This Row],[中签数]]-Table2[[#This Row],[费用合计]])</f>
        <v>720.97000000000025</v>
      </c>
      <c r="L58" s="5">
        <f>IFERROR(Table2[[#This Row],[收益额]]/Table2[[#This Row],[打新本金]],0)</f>
        <v>8.6517773902249611E-3</v>
      </c>
      <c r="M58" s="32">
        <v>1</v>
      </c>
      <c r="N58" s="2"/>
      <c r="O58" s="2">
        <f>Table2[[#This Row],[张恺霖
投资本金]]*Table2[[#This Row],[单次收益率]]*Table2[[#This Row],[结算系数]]</f>
        <v>0</v>
      </c>
      <c r="P58" s="2">
        <f>Table2[[#This Row],[张恺霖
投资本金]]+Table2[[#This Row],[张恺霖
投资收益]]</f>
        <v>0</v>
      </c>
      <c r="Q58" s="2">
        <v>30</v>
      </c>
      <c r="R58" s="2">
        <f>Table2[[#This Row],[张忻霖
投资本金]]*Table2[[#This Row],[单次收益率]]*Table2[[#This Row],[结算系数]]</f>
        <v>0.25955332170674883</v>
      </c>
      <c r="S58" s="2">
        <f>Table2[[#This Row],[张忻霖
投资本金]]+Table2[[#This Row],[张忻霖
投资收益]]</f>
        <v>30.25955332170675</v>
      </c>
      <c r="T58" cm="1">
        <f t="array" ref="T58">_xlfn.SWITCH(Table2[[#This Row],[市场]],"HK",1,"US",7.77,"SG",6,1)</f>
        <v>1</v>
      </c>
      <c r="U58" s="3">
        <f>Table2[[#This Row],[汇率]]*Table2[[#This Row],[打新本金]]</f>
        <v>83332.009999999995</v>
      </c>
      <c r="V58" s="3">
        <f>Table2[[#This Row],[费用合计]]*Table2[[#This Row],[汇率]]</f>
        <v>155.03</v>
      </c>
      <c r="W58" s="3">
        <f>Table2[[#This Row],[汇率]]*Table2[[#This Row],[收益额]]</f>
        <v>720.97000000000025</v>
      </c>
    </row>
    <row r="59" spans="1:23" x14ac:dyDescent="0.4">
      <c r="A59" t="s">
        <v>80</v>
      </c>
      <c r="B59" t="s">
        <v>16</v>
      </c>
      <c r="C59" s="24">
        <v>469487.51</v>
      </c>
      <c r="D59">
        <v>40000</v>
      </c>
      <c r="E59" s="24">
        <v>217.19</v>
      </c>
      <c r="F59">
        <v>100</v>
      </c>
      <c r="G59" s="3">
        <v>116.2</v>
      </c>
      <c r="H59" s="3">
        <v>119.8</v>
      </c>
      <c r="I59" s="3">
        <v>31.99</v>
      </c>
      <c r="J59" s="3">
        <f>Table2[[#This Row],[打新费用]]+Table2[[#This Row],[交易费用]]</f>
        <v>249.18</v>
      </c>
      <c r="K59" s="3">
        <f>((Table2[[#This Row],[卖出价]]-Table2[[#This Row],[中签价]])*Table2[[#This Row],[中签数]]-Table2[[#This Row],[费用合计]])</f>
        <v>110.81999999999942</v>
      </c>
      <c r="L59" s="5">
        <f>IFERROR(Table2[[#This Row],[收益额]]/Table2[[#This Row],[打新本金]],0)</f>
        <v>2.3604461809857184E-4</v>
      </c>
      <c r="M59" s="32">
        <v>1</v>
      </c>
      <c r="N59" s="2"/>
      <c r="O59" s="2">
        <f>Table2[[#This Row],[张恺霖
投资本金]]*Table2[[#This Row],[单次收益率]]*Table2[[#This Row],[结算系数]]</f>
        <v>0</v>
      </c>
      <c r="P59" s="2">
        <f>Table2[[#This Row],[张恺霖
投资本金]]+Table2[[#This Row],[张恺霖
投资收益]]</f>
        <v>0</v>
      </c>
      <c r="Q59" s="2">
        <v>30</v>
      </c>
      <c r="R59" s="2">
        <f>Table2[[#This Row],[张忻霖
投资本金]]*Table2[[#This Row],[单次收益率]]*Table2[[#This Row],[结算系数]]</f>
        <v>7.0813385429571553E-3</v>
      </c>
      <c r="S59" s="2">
        <f>Table2[[#This Row],[张忻霖
投资本金]]+Table2[[#This Row],[张忻霖
投资收益]]</f>
        <v>30.007081338542957</v>
      </c>
      <c r="T59" cm="1">
        <f t="array" ref="T59">_xlfn.SWITCH(Table2[[#This Row],[市场]],"HK",1,"US",7.77,"SG",6,1)</f>
        <v>1</v>
      </c>
      <c r="U59" s="3">
        <f>Table2[[#This Row],[汇率]]*Table2[[#This Row],[打新本金]]</f>
        <v>469487.51</v>
      </c>
      <c r="V59" s="3">
        <f>Table2[[#This Row],[费用合计]]*Table2[[#This Row],[汇率]]</f>
        <v>249.18</v>
      </c>
      <c r="W59" s="3">
        <f>Table2[[#This Row],[汇率]]*Table2[[#This Row],[收益额]]</f>
        <v>110.81999999999942</v>
      </c>
    </row>
    <row r="60" spans="1:23" x14ac:dyDescent="0.4">
      <c r="A60" t="s">
        <v>81</v>
      </c>
      <c r="B60" t="s">
        <v>16</v>
      </c>
      <c r="C60" s="10">
        <v>14605.83</v>
      </c>
      <c r="D60">
        <v>1000</v>
      </c>
      <c r="E60" s="10">
        <v>100</v>
      </c>
      <c r="G60" s="3"/>
      <c r="H60" s="3"/>
      <c r="I60" s="3"/>
      <c r="J60" s="3">
        <f>Table2[[#This Row],[打新费用]]+Table2[[#This Row],[交易费用]]</f>
        <v>100</v>
      </c>
      <c r="K60" s="3">
        <f>((Table2[[#This Row],[卖出价]]-Table2[[#This Row],[中签价]])*Table2[[#This Row],[中签数]]-Table2[[#This Row],[费用合计]])</f>
        <v>-100</v>
      </c>
      <c r="L60" s="5">
        <f>IFERROR(Table2[[#This Row],[收益额]]/Table2[[#This Row],[打新本金]],0)</f>
        <v>-6.8465811254820848E-3</v>
      </c>
      <c r="M60" s="32">
        <v>1</v>
      </c>
      <c r="N60" s="2"/>
      <c r="O60" s="2">
        <f>Table2[[#This Row],[张恺霖
投资本金]]*Table2[[#This Row],[单次收益率]]*Table2[[#This Row],[结算系数]]</f>
        <v>0</v>
      </c>
      <c r="P60" s="2">
        <f>Table2[[#This Row],[张恺霖
投资本金]]+Table2[[#This Row],[张恺霖
投资收益]]</f>
        <v>0</v>
      </c>
      <c r="Q60" s="2">
        <v>15</v>
      </c>
      <c r="R60" s="2">
        <f>Table2[[#This Row],[张忻霖
投资本金]]*Table2[[#This Row],[单次收益率]]*Table2[[#This Row],[结算系数]]</f>
        <v>-0.10269871688223127</v>
      </c>
      <c r="S60" s="2">
        <f>Table2[[#This Row],[张忻霖
投资本金]]+Table2[[#This Row],[张忻霖
投资收益]]</f>
        <v>14.897301283117768</v>
      </c>
      <c r="T60" cm="1">
        <f t="array" ref="T60">_xlfn.SWITCH(Table2[[#This Row],[市场]],"HK",1,"US",7.77,"SG",6,1)</f>
        <v>1</v>
      </c>
      <c r="U60" s="3">
        <f>Table2[[#This Row],[汇率]]*Table2[[#This Row],[打新本金]]</f>
        <v>14605.83</v>
      </c>
      <c r="V60" s="3">
        <f>Table2[[#This Row],[费用合计]]*Table2[[#This Row],[汇率]]</f>
        <v>100</v>
      </c>
      <c r="W60" s="3">
        <f>Table2[[#This Row],[汇率]]*Table2[[#This Row],[收益额]]</f>
        <v>-100</v>
      </c>
    </row>
    <row r="61" spans="1:23" x14ac:dyDescent="0.4">
      <c r="A61" t="s">
        <v>82</v>
      </c>
      <c r="B61" t="s">
        <v>16</v>
      </c>
      <c r="C61" s="10">
        <v>43676.08</v>
      </c>
      <c r="D61">
        <v>10000</v>
      </c>
      <c r="E61" s="10">
        <v>100</v>
      </c>
      <c r="G61" s="3"/>
      <c r="H61" s="3"/>
      <c r="I61" s="3"/>
      <c r="J61" s="3">
        <f>Table2[[#This Row],[打新费用]]+Table2[[#This Row],[交易费用]]</f>
        <v>100</v>
      </c>
      <c r="K61" s="3">
        <f>((Table2[[#This Row],[卖出价]]-Table2[[#This Row],[中签价]])*Table2[[#This Row],[中签数]]-Table2[[#This Row],[费用合计]])</f>
        <v>-100</v>
      </c>
      <c r="L61" s="5">
        <f>IFERROR(Table2[[#This Row],[收益额]]/Table2[[#This Row],[打新本金]],0)</f>
        <v>-2.2895827647536134E-3</v>
      </c>
      <c r="M61" s="32">
        <v>1</v>
      </c>
      <c r="N61" s="2"/>
      <c r="O61" s="2">
        <f>Table2[[#This Row],[张恺霖
投资本金]]*Table2[[#This Row],[单次收益率]]*Table2[[#This Row],[结算系数]]</f>
        <v>0</v>
      </c>
      <c r="P61" s="2">
        <f>Table2[[#This Row],[张恺霖
投资本金]]+Table2[[#This Row],[张恺霖
投资收益]]</f>
        <v>0</v>
      </c>
      <c r="Q61" s="2">
        <v>15</v>
      </c>
      <c r="R61" s="2">
        <f>Table2[[#This Row],[张忻霖
投资本金]]*Table2[[#This Row],[单次收益率]]*Table2[[#This Row],[结算系数]]</f>
        <v>-3.4343741471304201E-2</v>
      </c>
      <c r="S61" s="2">
        <f>Table2[[#This Row],[张忻霖
投资本金]]+Table2[[#This Row],[张忻霖
投资收益]]</f>
        <v>14.965656258528696</v>
      </c>
      <c r="T61" cm="1">
        <f t="array" ref="T61">_xlfn.SWITCH(Table2[[#This Row],[市场]],"HK",1,"US",7.77,"SG",6,1)</f>
        <v>1</v>
      </c>
      <c r="U61" s="3">
        <f>Table2[[#This Row],[汇率]]*Table2[[#This Row],[打新本金]]</f>
        <v>43676.08</v>
      </c>
      <c r="V61" s="3">
        <f>Table2[[#This Row],[费用合计]]*Table2[[#This Row],[汇率]]</f>
        <v>100</v>
      </c>
      <c r="W61" s="3">
        <f>Table2[[#This Row],[汇率]]*Table2[[#This Row],[收益额]]</f>
        <v>-100</v>
      </c>
    </row>
    <row r="62" spans="1:23" x14ac:dyDescent="0.4">
      <c r="A62" t="s">
        <v>83</v>
      </c>
      <c r="B62" t="s">
        <v>16</v>
      </c>
      <c r="C62" s="10">
        <v>6060.51</v>
      </c>
      <c r="D62">
        <v>2000</v>
      </c>
      <c r="E62" s="10">
        <v>100</v>
      </c>
      <c r="G62" s="3"/>
      <c r="H62" s="3"/>
      <c r="I62" s="3"/>
      <c r="J62" s="3">
        <f>Table2[[#This Row],[打新费用]]+Table2[[#This Row],[交易费用]]</f>
        <v>100</v>
      </c>
      <c r="K62" s="3">
        <f>((Table2[[#This Row],[卖出价]]-Table2[[#This Row],[中签价]])*Table2[[#This Row],[中签数]]-Table2[[#This Row],[费用合计]])</f>
        <v>-100</v>
      </c>
      <c r="L62" s="5">
        <f>IFERROR(Table2[[#This Row],[收益额]]/Table2[[#This Row],[打新本金]],0)</f>
        <v>-1.6500261529145237E-2</v>
      </c>
      <c r="M62" s="32">
        <v>1</v>
      </c>
      <c r="N62" s="2"/>
      <c r="O62" s="2">
        <f>Table2[[#This Row],[张恺霖
投资本金]]*Table2[[#This Row],[单次收益率]]*Table2[[#This Row],[结算系数]]</f>
        <v>0</v>
      </c>
      <c r="P62" s="2">
        <f>Table2[[#This Row],[张恺霖
投资本金]]+Table2[[#This Row],[张恺霖
投资收益]]</f>
        <v>0</v>
      </c>
      <c r="Q62" s="2">
        <v>10</v>
      </c>
      <c r="R62" s="2">
        <f>Table2[[#This Row],[张忻霖
投资本金]]*Table2[[#This Row],[单次收益率]]*Table2[[#This Row],[结算系数]]</f>
        <v>-0.16500261529145238</v>
      </c>
      <c r="S62" s="2">
        <f>Table2[[#This Row],[张忻霖
投资本金]]+Table2[[#This Row],[张忻霖
投资收益]]</f>
        <v>9.8349973847085472</v>
      </c>
      <c r="T62" cm="1">
        <f t="array" ref="T62">_xlfn.SWITCH(Table2[[#This Row],[市场]],"HK",1,"US",7.77,"SG",6,1)</f>
        <v>1</v>
      </c>
      <c r="U62" s="3">
        <f>Table2[[#This Row],[汇率]]*Table2[[#This Row],[打新本金]]</f>
        <v>6060.51</v>
      </c>
      <c r="V62" s="3">
        <f>Table2[[#This Row],[费用合计]]*Table2[[#This Row],[汇率]]</f>
        <v>100</v>
      </c>
      <c r="W62" s="3">
        <f>Table2[[#This Row],[汇率]]*Table2[[#This Row],[收益额]]</f>
        <v>-100</v>
      </c>
    </row>
    <row r="63" spans="1:23" x14ac:dyDescent="0.4">
      <c r="A63" t="s">
        <v>84</v>
      </c>
      <c r="B63" t="s">
        <v>16</v>
      </c>
      <c r="C63" s="10">
        <v>11710.93</v>
      </c>
      <c r="D63">
        <v>2000</v>
      </c>
      <c r="E63" s="10">
        <v>100</v>
      </c>
      <c r="G63" s="3"/>
      <c r="H63" s="3"/>
      <c r="I63" s="3"/>
      <c r="J63" s="3">
        <f>Table2[[#This Row],[打新费用]]+Table2[[#This Row],[交易费用]]</f>
        <v>100</v>
      </c>
      <c r="K63" s="3">
        <f>((Table2[[#This Row],[卖出价]]-Table2[[#This Row],[中签价]])*Table2[[#This Row],[中签数]]-Table2[[#This Row],[费用合计]])</f>
        <v>-100</v>
      </c>
      <c r="L63" s="5">
        <f>IFERROR(Table2[[#This Row],[收益额]]/Table2[[#This Row],[打新本金]],0)</f>
        <v>-8.5390314859707973E-3</v>
      </c>
      <c r="M63" s="32">
        <v>1</v>
      </c>
      <c r="N63" s="2"/>
      <c r="O63" s="2">
        <f>Table2[[#This Row],[张恺霖
投资本金]]*Table2[[#This Row],[单次收益率]]*Table2[[#This Row],[结算系数]]</f>
        <v>0</v>
      </c>
      <c r="P63" s="2">
        <f>Table2[[#This Row],[张恺霖
投资本金]]+Table2[[#This Row],[张恺霖
投资收益]]</f>
        <v>0</v>
      </c>
      <c r="Q63" s="2">
        <v>10</v>
      </c>
      <c r="R63" s="2">
        <f>Table2[[#This Row],[张忻霖
投资本金]]*Table2[[#This Row],[单次收益率]]*Table2[[#This Row],[结算系数]]</f>
        <v>-8.5390314859707966E-2</v>
      </c>
      <c r="S63" s="2">
        <f>Table2[[#This Row],[张忻霖
投资本金]]+Table2[[#This Row],[张忻霖
投资收益]]</f>
        <v>9.9146096851402916</v>
      </c>
      <c r="T63" cm="1">
        <f t="array" ref="T63">_xlfn.SWITCH(Table2[[#This Row],[市场]],"HK",1,"US",7.77,"SG",6,1)</f>
        <v>1</v>
      </c>
      <c r="U63" s="3">
        <f>Table2[[#This Row],[汇率]]*Table2[[#This Row],[打新本金]]</f>
        <v>11710.93</v>
      </c>
      <c r="V63" s="3">
        <f>Table2[[#This Row],[费用合计]]*Table2[[#This Row],[汇率]]</f>
        <v>100</v>
      </c>
      <c r="W63" s="3">
        <f>Table2[[#This Row],[汇率]]*Table2[[#This Row],[收益额]]</f>
        <v>-100</v>
      </c>
    </row>
    <row r="64" spans="1:23" x14ac:dyDescent="0.4">
      <c r="A64" t="s">
        <v>85</v>
      </c>
      <c r="B64" t="s">
        <v>16</v>
      </c>
      <c r="C64" s="10">
        <v>490901.31</v>
      </c>
      <c r="D64">
        <v>30000</v>
      </c>
      <c r="E64" s="10">
        <v>263.38</v>
      </c>
      <c r="F64">
        <v>100</v>
      </c>
      <c r="G64" s="3">
        <v>162</v>
      </c>
      <c r="H64" s="3">
        <v>248.8</v>
      </c>
      <c r="I64" s="3">
        <v>50.38</v>
      </c>
      <c r="J64" s="3">
        <f>Table2[[#This Row],[打新费用]]+Table2[[#This Row],[交易费用]]</f>
        <v>313.76</v>
      </c>
      <c r="K64" s="3">
        <f>((Table2[[#This Row],[卖出价]]-Table2[[#This Row],[中签价]])*Table2[[#This Row],[中签数]]-Table2[[#This Row],[费用合计]])</f>
        <v>8366.2400000000016</v>
      </c>
      <c r="L64" s="5">
        <f>IFERROR(Table2[[#This Row],[收益额]]/Table2[[#This Row],[打新本金]],0)</f>
        <v>1.7042610866122972E-2</v>
      </c>
      <c r="M64" s="32">
        <v>1</v>
      </c>
      <c r="N64" s="2"/>
      <c r="O64" s="2">
        <f>Table2[[#This Row],[张恺霖
投资本金]]*Table2[[#This Row],[单次收益率]]*Table2[[#This Row],[结算系数]]</f>
        <v>0</v>
      </c>
      <c r="P64" s="2">
        <f>Table2[[#This Row],[张恺霖
投资本金]]+Table2[[#This Row],[张恺霖
投资收益]]</f>
        <v>0</v>
      </c>
      <c r="Q64" s="2"/>
      <c r="R64" s="2">
        <f>Table2[[#This Row],[张忻霖
投资本金]]*Table2[[#This Row],[单次收益率]]*Table2[[#This Row],[结算系数]]</f>
        <v>0</v>
      </c>
      <c r="S64" s="2">
        <f>Table2[[#This Row],[张忻霖
投资本金]]+Table2[[#This Row],[张忻霖
投资收益]]</f>
        <v>0</v>
      </c>
      <c r="T64" cm="1">
        <f t="array" ref="T64">_xlfn.SWITCH(Table2[[#This Row],[市场]],"HK",1,"US",7.77,"SG",6,1)</f>
        <v>1</v>
      </c>
      <c r="U64" s="3">
        <f>Table2[[#This Row],[汇率]]*Table2[[#This Row],[打新本金]]</f>
        <v>490901.31</v>
      </c>
      <c r="V64" s="3">
        <f>Table2[[#This Row],[费用合计]]*Table2[[#This Row],[汇率]]</f>
        <v>313.76</v>
      </c>
      <c r="W64" s="3">
        <f>Table2[[#This Row],[汇率]]*Table2[[#This Row],[收益额]]</f>
        <v>8366.2400000000016</v>
      </c>
    </row>
    <row r="65" spans="1:25" x14ac:dyDescent="0.4">
      <c r="A65" t="s">
        <v>86</v>
      </c>
      <c r="B65" t="s">
        <v>16</v>
      </c>
      <c r="C65" s="10">
        <v>313126.34999999998</v>
      </c>
      <c r="D65">
        <v>100000</v>
      </c>
      <c r="E65" s="10">
        <v>162.53</v>
      </c>
      <c r="F65">
        <v>200</v>
      </c>
      <c r="G65" s="3">
        <v>31</v>
      </c>
      <c r="H65" s="3">
        <v>36.659999999999997</v>
      </c>
      <c r="I65" s="3">
        <v>26.06</v>
      </c>
      <c r="J65" s="3">
        <f>Table2[[#This Row],[打新费用]]+Table2[[#This Row],[交易费用]]</f>
        <v>188.59</v>
      </c>
      <c r="K65" s="3">
        <f>((Table2[[#This Row],[卖出价]]-Table2[[#This Row],[中签价]])*Table2[[#This Row],[中签数]]-Table2[[#This Row],[费用合计]])</f>
        <v>943.40999999999929</v>
      </c>
      <c r="L65" s="5">
        <f>IFERROR(Table2[[#This Row],[收益额]]/Table2[[#This Row],[打新本金]],0)</f>
        <v>3.0128732379117867E-3</v>
      </c>
      <c r="M65" s="32">
        <v>1</v>
      </c>
      <c r="N65" s="2"/>
      <c r="O65" s="2">
        <f>Table2[[#This Row],[张恺霖
投资本金]]*Table2[[#This Row],[单次收益率]]*Table2[[#This Row],[结算系数]]</f>
        <v>0</v>
      </c>
      <c r="P65" s="2">
        <f>Table2[[#This Row],[张恺霖
投资本金]]+Table2[[#This Row],[张恺霖
投资收益]]</f>
        <v>0</v>
      </c>
      <c r="Q65" s="2">
        <v>15</v>
      </c>
      <c r="R65" s="2">
        <f>Table2[[#This Row],[张忻霖
投资本金]]*Table2[[#This Row],[单次收益率]]*Table2[[#This Row],[结算系数]]</f>
        <v>4.5193098568676801E-2</v>
      </c>
      <c r="S65" s="2">
        <f>Table2[[#This Row],[张忻霖
投资本金]]+Table2[[#This Row],[张忻霖
投资收益]]</f>
        <v>15.045193098568676</v>
      </c>
      <c r="T65" cm="1">
        <f t="array" ref="T65">_xlfn.SWITCH(Table2[[#This Row],[市场]],"HK",1,"US",7.77,"SG",6,1)</f>
        <v>1</v>
      </c>
      <c r="U65" s="3">
        <f>Table2[[#This Row],[汇率]]*Table2[[#This Row],[打新本金]]</f>
        <v>313126.34999999998</v>
      </c>
      <c r="V65" s="3">
        <f>Table2[[#This Row],[费用合计]]*Table2[[#This Row],[汇率]]</f>
        <v>188.59</v>
      </c>
      <c r="W65" s="3">
        <f>Table2[[#This Row],[汇率]]*Table2[[#This Row],[收益额]]</f>
        <v>943.40999999999929</v>
      </c>
      <c r="Y65" s="27">
        <v>46042</v>
      </c>
    </row>
    <row r="66" spans="1:25" x14ac:dyDescent="0.4">
      <c r="A66" t="s">
        <v>87</v>
      </c>
      <c r="B66" t="s">
        <v>17</v>
      </c>
      <c r="C66" s="25">
        <v>30645</v>
      </c>
      <c r="D66">
        <v>2043</v>
      </c>
      <c r="E66" s="25">
        <v>0</v>
      </c>
      <c r="F66">
        <v>4</v>
      </c>
      <c r="G66" s="26">
        <v>18</v>
      </c>
      <c r="H66" s="26">
        <v>20.18</v>
      </c>
      <c r="I66" s="26">
        <v>2.0099999999999998</v>
      </c>
      <c r="J66" s="26">
        <f>Table2[[#This Row],[打新费用]]+Table2[[#This Row],[交易费用]]</f>
        <v>2.0099999999999998</v>
      </c>
      <c r="K66" s="26">
        <f>((Table2[[#This Row],[卖出价]]-Table2[[#This Row],[中签价]])*Table2[[#This Row],[中签数]]-Table2[[#This Row],[费用合计]])</f>
        <v>6.7099999999999991</v>
      </c>
      <c r="L66" s="5">
        <f>IFERROR(Table2[[#This Row],[收益额]]/Table2[[#This Row],[打新本金]],0)</f>
        <v>2.1895904715287973E-4</v>
      </c>
      <c r="M66" s="32">
        <v>1</v>
      </c>
      <c r="N66" s="2"/>
      <c r="O66" s="2">
        <f>Table2[[#This Row],[张恺霖
投资本金]]*Table2[[#This Row],[单次收益率]]*Table2[[#This Row],[结算系数]]</f>
        <v>0</v>
      </c>
      <c r="P66" s="2">
        <f>Table2[[#This Row],[张恺霖
投资本金]]+Table2[[#This Row],[张恺霖
投资收益]]</f>
        <v>0</v>
      </c>
      <c r="Q66" s="2"/>
      <c r="R66" s="2">
        <f>Table2[[#This Row],[张忻霖
投资本金]]*Table2[[#This Row],[单次收益率]]*Table2[[#This Row],[结算系数]]</f>
        <v>0</v>
      </c>
      <c r="S66" s="2">
        <f>Table2[[#This Row],[张忻霖
投资本金]]+Table2[[#This Row],[张忻霖
投资收益]]</f>
        <v>0</v>
      </c>
      <c r="T66" cm="1">
        <f t="array" ref="T66">_xlfn.SWITCH(Table2[[#This Row],[市场]],"HK",1,"US",7.77,"SG",6,1)</f>
        <v>7.77</v>
      </c>
      <c r="U66" s="3">
        <f>Table2[[#This Row],[汇率]]*Table2[[#This Row],[打新本金]]</f>
        <v>238111.65</v>
      </c>
      <c r="V66" s="3">
        <f>Table2[[#This Row],[费用合计]]*Table2[[#This Row],[汇率]]</f>
        <v>15.617699999999997</v>
      </c>
      <c r="W66" s="3">
        <f>Table2[[#This Row],[汇率]]*Table2[[#This Row],[收益额]]</f>
        <v>52.13669999999999</v>
      </c>
      <c r="Y66" s="27">
        <v>46045</v>
      </c>
    </row>
    <row r="67" spans="1:25" x14ac:dyDescent="0.4">
      <c r="A67" t="s">
        <v>88</v>
      </c>
      <c r="B67" t="s">
        <v>16</v>
      </c>
      <c r="C67" s="10">
        <v>238986.11</v>
      </c>
      <c r="D67">
        <v>10000</v>
      </c>
      <c r="E67" s="10">
        <v>338.61</v>
      </c>
      <c r="F67">
        <v>100</v>
      </c>
      <c r="G67" s="3">
        <v>236.6</v>
      </c>
      <c r="H67" s="3">
        <v>397.2</v>
      </c>
      <c r="I67" s="3">
        <v>71.56</v>
      </c>
      <c r="J67" s="3">
        <f>Table2[[#This Row],[打新费用]]+Table2[[#This Row],[交易费用]]</f>
        <v>410.17</v>
      </c>
      <c r="K67" s="3">
        <f>((Table2[[#This Row],[卖出价]]-Table2[[#This Row],[中签价]])*Table2[[#This Row],[中签数]]-Table2[[#This Row],[费用合计]])</f>
        <v>15649.83</v>
      </c>
      <c r="L67" s="5">
        <f>IFERROR(Table2[[#This Row],[收益额]]/Table2[[#This Row],[打新本金]],0)</f>
        <v>6.5484266010271477E-2</v>
      </c>
      <c r="M67" s="32">
        <v>1</v>
      </c>
      <c r="N67" s="2"/>
      <c r="O67" s="2">
        <f>Table2[[#This Row],[张恺霖
投资本金]]*Table2[[#This Row],[单次收益率]]*Table2[[#This Row],[结算系数]]</f>
        <v>0</v>
      </c>
      <c r="P67" s="2">
        <f>Table2[[#This Row],[张恺霖
投资本金]]+Table2[[#This Row],[张恺霖
投资收益]]</f>
        <v>0</v>
      </c>
      <c r="Q67" s="2"/>
      <c r="R67" s="2">
        <f>Table2[[#This Row],[张忻霖
投资本金]]*Table2[[#This Row],[单次收益率]]*Table2[[#This Row],[结算系数]]</f>
        <v>0</v>
      </c>
      <c r="S67" s="2">
        <f>Table2[[#This Row],[张忻霖
投资本金]]+Table2[[#This Row],[张忻霖
投资收益]]</f>
        <v>0</v>
      </c>
      <c r="T67" cm="1">
        <f t="array" ref="T67">_xlfn.SWITCH(Table2[[#This Row],[市场]],"HK",1,"US",7.77,"SG",6,1)</f>
        <v>1</v>
      </c>
      <c r="U67" s="3">
        <f>Table2[[#This Row],[汇率]]*Table2[[#This Row],[打新本金]]</f>
        <v>238986.11</v>
      </c>
      <c r="V67" s="3">
        <f>Table2[[#This Row],[费用合计]]*Table2[[#This Row],[汇率]]</f>
        <v>410.17</v>
      </c>
      <c r="W67" s="3">
        <f>Table2[[#This Row],[汇率]]*Table2[[#This Row],[收益额]]</f>
        <v>15649.83</v>
      </c>
      <c r="Y67" s="27">
        <v>46049</v>
      </c>
    </row>
    <row r="68" spans="1:25" x14ac:dyDescent="0.4">
      <c r="A68" t="s">
        <v>89</v>
      </c>
      <c r="B68" t="s">
        <v>16</v>
      </c>
      <c r="C68" s="10">
        <v>501002.16</v>
      </c>
      <c r="D68">
        <v>20000</v>
      </c>
      <c r="E68" s="10">
        <v>600.22</v>
      </c>
      <c r="F68">
        <v>200</v>
      </c>
      <c r="G68" s="3">
        <v>248</v>
      </c>
      <c r="H68" s="3">
        <v>249.8</v>
      </c>
      <c r="I68" s="3">
        <v>85.83</v>
      </c>
      <c r="J68" s="3">
        <f>Table2[[#This Row],[打新费用]]+Table2[[#This Row],[交易费用]]</f>
        <v>686.05000000000007</v>
      </c>
      <c r="K68" s="3">
        <f>((Table2[[#This Row],[卖出价]]-Table2[[#This Row],[中签价]])*Table2[[#This Row],[中签数]]-Table2[[#This Row],[费用合计]])</f>
        <v>-326.04999999999779</v>
      </c>
      <c r="L68" s="5">
        <f>IFERROR(Table2[[#This Row],[收益额]]/Table2[[#This Row],[打新本金]],0)</f>
        <v>-6.5079559736827845E-4</v>
      </c>
      <c r="M68" s="32">
        <v>1</v>
      </c>
      <c r="N68" s="2"/>
      <c r="O68" s="2">
        <f>Table2[[#This Row],[张恺霖
投资本金]]*Table2[[#This Row],[单次收益率]]*Table2[[#This Row],[结算系数]]</f>
        <v>0</v>
      </c>
      <c r="P68" s="2">
        <f>Table2[[#This Row],[张恺霖
投资本金]]+Table2[[#This Row],[张恺霖
投资收益]]</f>
        <v>0</v>
      </c>
      <c r="Q68" s="2">
        <v>15</v>
      </c>
      <c r="R68" s="2">
        <f>Table2[[#This Row],[张忻霖
投资本金]]*Table2[[#This Row],[单次收益率]]*Table2[[#This Row],[结算系数]]</f>
        <v>-9.7619339605241762E-3</v>
      </c>
      <c r="S68" s="2">
        <f>Table2[[#This Row],[张忻霖
投资本金]]+Table2[[#This Row],[张忻霖
投资收益]]</f>
        <v>14.990238066039476</v>
      </c>
      <c r="T68" cm="1">
        <f t="array" ref="T68">_xlfn.SWITCH(Table2[[#This Row],[市场]],"HK",1,"US",7.77,"SG",6,1)</f>
        <v>1</v>
      </c>
      <c r="U68" s="3">
        <f>Table2[[#This Row],[汇率]]*Table2[[#This Row],[打新本金]]</f>
        <v>501002.16</v>
      </c>
      <c r="V68" s="3">
        <f>Table2[[#This Row],[费用合计]]*Table2[[#This Row],[汇率]]</f>
        <v>686.05000000000007</v>
      </c>
      <c r="W68" s="3">
        <f>Table2[[#This Row],[汇率]]*Table2[[#This Row],[收益额]]</f>
        <v>-326.04999999999779</v>
      </c>
      <c r="Y68" s="27">
        <v>46056</v>
      </c>
    </row>
    <row r="69" spans="1:25" x14ac:dyDescent="0.4">
      <c r="A69" t="s">
        <v>90</v>
      </c>
      <c r="B69" t="s">
        <v>16</v>
      </c>
      <c r="C69" s="10">
        <v>199390.78</v>
      </c>
      <c r="D69">
        <v>70000</v>
      </c>
      <c r="E69" s="10">
        <v>213.76</v>
      </c>
      <c r="F69">
        <v>400</v>
      </c>
      <c r="G69" s="3">
        <v>28.2</v>
      </c>
      <c r="H69" s="3"/>
      <c r="I69" s="3"/>
      <c r="J69" s="3">
        <f>Table2[[#This Row],[打新费用]]+Table2[[#This Row],[交易费用]]</f>
        <v>213.76</v>
      </c>
      <c r="K69" s="3">
        <f>((Table2[[#This Row],[卖出价]]-Table2[[#This Row],[中签价]])*Table2[[#This Row],[中签数]]-Table2[[#This Row],[费用合计]])</f>
        <v>-11493.76</v>
      </c>
      <c r="L69" s="5">
        <f>IFERROR(Table2[[#This Row],[收益额]]/Table2[[#This Row],[打新本金]],0)</f>
        <v>-5.7644390578140074E-2</v>
      </c>
      <c r="M69" s="32">
        <v>1</v>
      </c>
      <c r="N69" s="2"/>
      <c r="O69" s="2">
        <f>Table2[[#This Row],[张恺霖
投资本金]]*Table2[[#This Row],[单次收益率]]*Table2[[#This Row],[结算系数]]</f>
        <v>0</v>
      </c>
      <c r="P69" s="2">
        <f>Table2[[#This Row],[张恺霖
投资本金]]+Table2[[#This Row],[张恺霖
投资收益]]</f>
        <v>0</v>
      </c>
      <c r="Q69" s="2">
        <v>15</v>
      </c>
      <c r="R69" s="2">
        <f>Table2[[#This Row],[张忻霖
投资本金]]*Table2[[#This Row],[单次收益率]]*Table2[[#This Row],[结算系数]]</f>
        <v>-0.86466585867210111</v>
      </c>
      <c r="S69" s="2">
        <f>Table2[[#This Row],[张忻霖
投资本金]]+Table2[[#This Row],[张忻霖
投资收益]]</f>
        <v>14.135334141327899</v>
      </c>
      <c r="T69" cm="1">
        <f t="array" ref="T69">_xlfn.SWITCH(Table2[[#This Row],[市场]],"HK",1,"US",7.77,"SG",6,1)</f>
        <v>1</v>
      </c>
      <c r="U69" s="3">
        <f>Table2[[#This Row],[汇率]]*Table2[[#This Row],[打新本金]]</f>
        <v>199390.78</v>
      </c>
      <c r="V69" s="3">
        <f>Table2[[#This Row],[费用合计]]*Table2[[#This Row],[汇率]]</f>
        <v>213.76</v>
      </c>
      <c r="W69" s="3">
        <f>Table2[[#This Row],[汇率]]*Table2[[#This Row],[收益额]]</f>
        <v>-11493.76</v>
      </c>
      <c r="Y69" s="27">
        <v>46063</v>
      </c>
    </row>
    <row r="70" spans="1:25" x14ac:dyDescent="0.4">
      <c r="A70" t="s">
        <v>91</v>
      </c>
      <c r="B70" t="s">
        <v>16</v>
      </c>
      <c r="C70" s="10">
        <v>215935.97</v>
      </c>
      <c r="D70">
        <v>20000</v>
      </c>
      <c r="E70" s="10">
        <v>207.8</v>
      </c>
      <c r="F70">
        <v>100</v>
      </c>
      <c r="G70" s="3">
        <v>106.89</v>
      </c>
      <c r="H70" s="3">
        <v>151</v>
      </c>
      <c r="I70" s="3">
        <v>37.29</v>
      </c>
      <c r="J70" s="3">
        <f>Table2[[#This Row],[打新费用]]+Table2[[#This Row],[交易费用]]</f>
        <v>245.09</v>
      </c>
      <c r="K70" s="3">
        <f>((Table2[[#This Row],[卖出价]]-Table2[[#This Row],[中签价]])*Table2[[#This Row],[中签数]]-Table2[[#This Row],[费用合计]])</f>
        <v>4165.91</v>
      </c>
      <c r="L70" s="5">
        <f>IFERROR(Table2[[#This Row],[收益额]]/Table2[[#This Row],[打新本金]],0)</f>
        <v>1.9292339298542988E-2</v>
      </c>
      <c r="M70" s="32">
        <v>1</v>
      </c>
      <c r="N70" s="2">
        <v>15</v>
      </c>
      <c r="O70" s="2">
        <f>Table2[[#This Row],[张恺霖
投资本金]]*Table2[[#This Row],[单次收益率]]*Table2[[#This Row],[结算系数]]</f>
        <v>0.28938508947814479</v>
      </c>
      <c r="P70" s="2">
        <f>Table2[[#This Row],[张恺霖
投资本金]]+Table2[[#This Row],[张恺霖
投资收益]]</f>
        <v>15.289385089478145</v>
      </c>
      <c r="Q70" s="2">
        <v>20</v>
      </c>
      <c r="R70" s="2">
        <f>Table2[[#This Row],[张忻霖
投资本金]]*Table2[[#This Row],[单次收益率]]*Table2[[#This Row],[结算系数]]</f>
        <v>0.38584678597085975</v>
      </c>
      <c r="S70" s="2">
        <f>Table2[[#This Row],[张忻霖
投资本金]]+Table2[[#This Row],[张忻霖
投资收益]]</f>
        <v>20.385846785970859</v>
      </c>
      <c r="T70" cm="1">
        <f t="array" ref="T70">_xlfn.SWITCH(Table2[[#This Row],[市场]],"HK",1,"US",7.77,"SG",6,1)</f>
        <v>1</v>
      </c>
      <c r="U70" s="3">
        <f>Table2[[#This Row],[汇率]]*Table2[[#This Row],[打新本金]]</f>
        <v>215935.97</v>
      </c>
      <c r="V70" s="3">
        <f>Table2[[#This Row],[费用合计]]*Table2[[#This Row],[汇率]]</f>
        <v>245.09</v>
      </c>
      <c r="W70" s="3">
        <f>Table2[[#This Row],[汇率]]*Table2[[#This Row],[收益额]]</f>
        <v>4165.91</v>
      </c>
      <c r="Y70" s="27">
        <v>46059</v>
      </c>
    </row>
    <row r="71" spans="1:25" x14ac:dyDescent="0.4">
      <c r="A71" t="s">
        <v>92</v>
      </c>
      <c r="B71" t="s">
        <v>16</v>
      </c>
      <c r="C71" s="24">
        <v>96766.14</v>
      </c>
      <c r="D71">
        <v>10000</v>
      </c>
      <c r="E71" s="24">
        <v>196.61</v>
      </c>
      <c r="F71">
        <v>100</v>
      </c>
      <c r="G71" s="3">
        <v>95.8</v>
      </c>
      <c r="H71" s="3">
        <v>128.80000000000001</v>
      </c>
      <c r="I71" s="3">
        <v>33.380000000000003</v>
      </c>
      <c r="J71" s="3">
        <f>Table2[[#This Row],[打新费用]]+Table2[[#This Row],[交易费用]]</f>
        <v>229.99</v>
      </c>
      <c r="K71" s="3">
        <f>((Table2[[#This Row],[卖出价]]-Table2[[#This Row],[中签价]])*Table2[[#This Row],[中签数]]-Table2[[#This Row],[费用合计]])</f>
        <v>3070.0100000000011</v>
      </c>
      <c r="L71" s="5">
        <f>IFERROR(Table2[[#This Row],[收益额]]/Table2[[#This Row],[打新本金]],0)</f>
        <v>3.1726076910787195E-2</v>
      </c>
      <c r="M71" s="32">
        <v>1</v>
      </c>
      <c r="N71" s="2"/>
      <c r="O71" s="2">
        <f>Table2[[#This Row],[张恺霖
投资本金]]*Table2[[#This Row],[单次收益率]]*Table2[[#This Row],[结算系数]]</f>
        <v>0</v>
      </c>
      <c r="P71" s="2">
        <f>Table2[[#This Row],[张恺霖
投资本金]]+Table2[[#This Row],[张恺霖
投资收益]]</f>
        <v>0</v>
      </c>
      <c r="Q71" s="2">
        <v>13.99</v>
      </c>
      <c r="R71" s="2">
        <f>Table2[[#This Row],[张忻霖
投资本金]]*Table2[[#This Row],[单次收益率]]*Table2[[#This Row],[结算系数]]</f>
        <v>0.44384781598191286</v>
      </c>
      <c r="S71" s="2">
        <f>Table2[[#This Row],[张忻霖
投资本金]]+Table2[[#This Row],[张忻霖
投资收益]]</f>
        <v>14.433847815981913</v>
      </c>
      <c r="T71" cm="1">
        <f t="array" ref="T71">_xlfn.SWITCH(Table2[[#This Row],[市场]],"HK",1,"US",7.77,"SG",6,1)</f>
        <v>1</v>
      </c>
      <c r="U71" s="3">
        <f>Table2[[#This Row],[汇率]]*Table2[[#This Row],[打新本金]]</f>
        <v>96766.14</v>
      </c>
      <c r="V71" s="3">
        <f>Table2[[#This Row],[费用合计]]*Table2[[#This Row],[汇率]]</f>
        <v>229.99</v>
      </c>
      <c r="W71" s="3">
        <f>Table2[[#This Row],[汇率]]*Table2[[#This Row],[收益额]]</f>
        <v>3070.0100000000011</v>
      </c>
      <c r="Y71" s="27">
        <v>46126</v>
      </c>
    </row>
    <row r="72" spans="1:25" x14ac:dyDescent="0.4">
      <c r="A72" t="s">
        <v>93</v>
      </c>
      <c r="B72" t="s">
        <v>16</v>
      </c>
      <c r="C72" s="10">
        <v>74241.25</v>
      </c>
      <c r="D72">
        <v>60000</v>
      </c>
      <c r="E72" s="10">
        <v>100</v>
      </c>
      <c r="F72">
        <v>0</v>
      </c>
      <c r="G72" s="3"/>
      <c r="H72" s="3"/>
      <c r="I72" s="3"/>
      <c r="J72" s="3">
        <f>Table2[[#This Row],[打新费用]]+Table2[[#This Row],[交易费用]]</f>
        <v>100</v>
      </c>
      <c r="K72" s="3">
        <f>((Table2[[#This Row],[卖出价]]-Table2[[#This Row],[中签价]])*Table2[[#This Row],[中签数]]-Table2[[#This Row],[费用合计]])</f>
        <v>-100</v>
      </c>
      <c r="L72" s="5">
        <f>IFERROR(Table2[[#This Row],[收益额]]/Table2[[#This Row],[打新本金]],0)</f>
        <v>-1.3469600794706446E-3</v>
      </c>
      <c r="M72" s="32">
        <v>1</v>
      </c>
      <c r="N72" s="2"/>
      <c r="O72" s="2">
        <f>Table2[[#This Row],[张恺霖
投资本金]]*Table2[[#This Row],[单次收益率]]*Table2[[#This Row],[结算系数]]</f>
        <v>0</v>
      </c>
      <c r="P72" s="2">
        <f>Table2[[#This Row],[张恺霖
投资本金]]+Table2[[#This Row],[张恺霖
投资收益]]</f>
        <v>0</v>
      </c>
      <c r="Q72" s="2">
        <v>15</v>
      </c>
      <c r="R72" s="2">
        <f>Table2[[#This Row],[张忻霖
投资本金]]*Table2[[#This Row],[单次收益率]]*Table2[[#This Row],[结算系数]]</f>
        <v>-2.0204401192059671E-2</v>
      </c>
      <c r="S72" s="2">
        <f>Table2[[#This Row],[张忻霖
投资本金]]+Table2[[#This Row],[张忻霖
投资收益]]</f>
        <v>14.979795598807941</v>
      </c>
      <c r="T72" cm="1">
        <f t="array" ref="T72">_xlfn.SWITCH(Table2[[#This Row],[市场]],"HK",1,"US",7.77,"SG",6,1)</f>
        <v>1</v>
      </c>
      <c r="U72" s="3">
        <f>Table2[[#This Row],[汇率]]*Table2[[#This Row],[打新本金]]</f>
        <v>74241.25</v>
      </c>
      <c r="V72" s="3">
        <f>Table2[[#This Row],[费用合计]]*Table2[[#This Row],[汇率]]</f>
        <v>100</v>
      </c>
      <c r="W72" s="3">
        <f>Table2[[#This Row],[汇率]]*Table2[[#This Row],[收益额]]</f>
        <v>-100</v>
      </c>
    </row>
    <row r="73" spans="1:25" x14ac:dyDescent="0.4">
      <c r="A73" t="s">
        <v>94</v>
      </c>
      <c r="B73" t="s">
        <v>16</v>
      </c>
      <c r="C73" s="10">
        <v>420195.36</v>
      </c>
      <c r="D73">
        <v>100000</v>
      </c>
      <c r="E73" s="10">
        <v>213.55</v>
      </c>
      <c r="F73">
        <v>100</v>
      </c>
      <c r="G73" s="3">
        <v>41.6</v>
      </c>
      <c r="H73" s="3">
        <v>75.7</v>
      </c>
      <c r="I73" s="3">
        <v>26.16</v>
      </c>
      <c r="J73" s="3">
        <f>Table2[[#This Row],[打新费用]]+Table2[[#This Row],[交易费用]]</f>
        <v>239.71</v>
      </c>
      <c r="K73" s="3">
        <f>((Table2[[#This Row],[卖出价]]-Table2[[#This Row],[中签价]])*Table2[[#This Row],[中签数]]-Table2[[#This Row],[费用合计]])</f>
        <v>3170.29</v>
      </c>
      <c r="L73" s="5">
        <f>IFERROR(Table2[[#This Row],[收益额]]/Table2[[#This Row],[打新本金]],0)</f>
        <v>7.5448001139279599E-3</v>
      </c>
      <c r="M73" s="32">
        <v>1</v>
      </c>
      <c r="N73" s="2">
        <v>10</v>
      </c>
      <c r="O73" s="2">
        <f>Table2[[#This Row],[张恺霖
投资本金]]*Table2[[#This Row],[单次收益率]]*Table2[[#This Row],[结算系数]]</f>
        <v>7.5448001139279602E-2</v>
      </c>
      <c r="P73" s="2">
        <f>Table2[[#This Row],[张恺霖
投资本金]]+Table2[[#This Row],[张恺霖
投资收益]]</f>
        <v>10.07544800113928</v>
      </c>
      <c r="Q73" s="2">
        <v>100</v>
      </c>
      <c r="R73" s="2">
        <f>Table2[[#This Row],[张忻霖
投资本金]]*Table2[[#This Row],[单次收益率]]*Table2[[#This Row],[结算系数]]</f>
        <v>0.75448001139279597</v>
      </c>
      <c r="S73" s="2">
        <f>Table2[[#This Row],[张忻霖
投资本金]]+Table2[[#This Row],[张忻霖
投资收益]]</f>
        <v>100.7544800113928</v>
      </c>
      <c r="T73" cm="1">
        <f t="array" ref="T73">_xlfn.SWITCH(Table2[[#This Row],[市场]],"HK",1,"US",7.77,"SG",6,1)</f>
        <v>1</v>
      </c>
      <c r="U73" s="3">
        <f>Table2[[#This Row],[汇率]]*Table2[[#This Row],[打新本金]]</f>
        <v>420195.36</v>
      </c>
      <c r="V73" s="3">
        <f>Table2[[#This Row],[费用合计]]*Table2[[#This Row],[汇率]]</f>
        <v>239.71</v>
      </c>
      <c r="W73" s="3">
        <f>Table2[[#This Row],[汇率]]*Table2[[#This Row],[收益额]]</f>
        <v>3170.29</v>
      </c>
      <c r="Y73" s="27">
        <v>46101</v>
      </c>
    </row>
    <row r="74" spans="1:25" x14ac:dyDescent="0.4">
      <c r="A74" t="s">
        <v>106</v>
      </c>
      <c r="B74" t="s">
        <v>16</v>
      </c>
      <c r="C74" s="10">
        <v>202017</v>
      </c>
      <c r="D74">
        <v>50000</v>
      </c>
      <c r="E74" s="10">
        <v>134.66</v>
      </c>
      <c r="F74">
        <v>0</v>
      </c>
      <c r="G74" s="3"/>
      <c r="H74" s="3"/>
      <c r="I74" s="3"/>
      <c r="J74" s="3">
        <f>Table2[[#This Row],[打新费用]]+Table2[[#This Row],[交易费用]]</f>
        <v>134.66</v>
      </c>
      <c r="K74" s="3">
        <f>((Table2[[#This Row],[卖出价]]-Table2[[#This Row],[中签价]])*Table2[[#This Row],[中签数]]-Table2[[#This Row],[费用合计]])</f>
        <v>-134.66</v>
      </c>
      <c r="L74" s="5">
        <f>IFERROR(Table2[[#This Row],[收益额]]/Table2[[#This Row],[打新本金]],0)</f>
        <v>-6.6657756525440926E-4</v>
      </c>
      <c r="M74" s="32">
        <v>1</v>
      </c>
      <c r="N74" s="2"/>
      <c r="O74" s="2">
        <f>Table2[[#This Row],[张恺霖
投资本金]]*Table2[[#This Row],[单次收益率]]*Table2[[#This Row],[结算系数]]</f>
        <v>0</v>
      </c>
      <c r="P74" s="2">
        <f>Table2[[#This Row],[张恺霖
投资本金]]+Table2[[#This Row],[张恺霖
投资收益]]</f>
        <v>0</v>
      </c>
      <c r="Q74" s="2">
        <v>25</v>
      </c>
      <c r="R74" s="2">
        <f>Table2[[#This Row],[张忻霖
投资本金]]*Table2[[#This Row],[单次收益率]]*Table2[[#This Row],[结算系数]]</f>
        <v>-1.6664439131360231E-2</v>
      </c>
      <c r="S74" s="2">
        <f>Table2[[#This Row],[张忻霖
投资本金]]+Table2[[#This Row],[张忻霖
投资收益]]</f>
        <v>24.983335560868639</v>
      </c>
      <c r="T74" cm="1">
        <f t="array" ref="T74">_xlfn.SWITCH(Table2[[#This Row],[市场]],"HK",1,"US",7.77,"SG",6,1)</f>
        <v>1</v>
      </c>
      <c r="U74" s="3">
        <f>Table2[[#This Row],[汇率]]*Table2[[#This Row],[打新本金]]</f>
        <v>202017</v>
      </c>
      <c r="V74" s="3">
        <f>Table2[[#This Row],[费用合计]]*Table2[[#This Row],[汇率]]</f>
        <v>134.66</v>
      </c>
      <c r="W74" s="3">
        <f>Table2[[#This Row],[汇率]]*Table2[[#This Row],[收益额]]</f>
        <v>-134.66</v>
      </c>
      <c r="Y74" s="27">
        <v>46101</v>
      </c>
    </row>
    <row r="75" spans="1:25" x14ac:dyDescent="0.4">
      <c r="A75" t="s">
        <v>107</v>
      </c>
      <c r="B75" t="s">
        <v>16</v>
      </c>
      <c r="C75" s="10">
        <v>171714.45</v>
      </c>
      <c r="D75">
        <v>100000</v>
      </c>
      <c r="E75" s="10">
        <v>129.46</v>
      </c>
      <c r="F75">
        <v>0</v>
      </c>
      <c r="G75" s="3"/>
      <c r="H75" s="3"/>
      <c r="I75" s="3"/>
      <c r="J75" s="3">
        <f>Table2[[#This Row],[打新费用]]+Table2[[#This Row],[交易费用]]</f>
        <v>129.46</v>
      </c>
      <c r="K75" s="3">
        <f>((Table2[[#This Row],[卖出价]]-Table2[[#This Row],[中签价]])*Table2[[#This Row],[中签数]]-Table2[[#This Row],[费用合计]])</f>
        <v>-129.46</v>
      </c>
      <c r="L75" s="5">
        <f>IFERROR(Table2[[#This Row],[收益额]]/Table2[[#This Row],[打新本金]],0)</f>
        <v>-7.5392606737522674E-4</v>
      </c>
      <c r="M75" s="32">
        <v>1</v>
      </c>
      <c r="N75" s="2"/>
      <c r="O75" s="2">
        <f>Table2[[#This Row],[张恺霖
投资本金]]*Table2[[#This Row],[单次收益率]]*Table2[[#This Row],[结算系数]]</f>
        <v>0</v>
      </c>
      <c r="P75" s="2">
        <f>Table2[[#This Row],[张恺霖
投资本金]]+Table2[[#This Row],[张恺霖
投资收益]]</f>
        <v>0</v>
      </c>
      <c r="Q75" s="2">
        <v>50</v>
      </c>
      <c r="R75" s="2">
        <f>Table2[[#This Row],[张忻霖
投资本金]]*Table2[[#This Row],[单次收益率]]*Table2[[#This Row],[结算系数]]</f>
        <v>-3.7696303368761334E-2</v>
      </c>
      <c r="S75" s="2">
        <f>Table2[[#This Row],[张忻霖
投资本金]]+Table2[[#This Row],[张忻霖
投资收益]]</f>
        <v>49.962303696631238</v>
      </c>
      <c r="T75" cm="1">
        <f t="array" ref="T75">_xlfn.SWITCH(Table2[[#This Row],[市场]],"HK",1,"US",7.77,"SG",6,1)</f>
        <v>1</v>
      </c>
      <c r="U75" s="3">
        <f>Table2[[#This Row],[汇率]]*Table2[[#This Row],[打新本金]]</f>
        <v>171714.45</v>
      </c>
      <c r="V75" s="3">
        <f>Table2[[#This Row],[费用合计]]*Table2[[#This Row],[汇率]]</f>
        <v>129.46</v>
      </c>
      <c r="W75" s="3">
        <f>Table2[[#This Row],[汇率]]*Table2[[#This Row],[收益额]]</f>
        <v>-129.46</v>
      </c>
    </row>
    <row r="76" spans="1:25" x14ac:dyDescent="0.4">
      <c r="A76" t="s">
        <v>108</v>
      </c>
      <c r="B76" t="s">
        <v>16</v>
      </c>
      <c r="C76" s="10">
        <v>227269.12</v>
      </c>
      <c r="D76">
        <v>20000</v>
      </c>
      <c r="E76" s="10">
        <v>139</v>
      </c>
      <c r="F76">
        <v>0</v>
      </c>
      <c r="G76" s="3"/>
      <c r="H76" s="3"/>
      <c r="I76" s="3"/>
      <c r="J76" s="3">
        <f>Table2[[#This Row],[打新费用]]+Table2[[#This Row],[交易费用]]</f>
        <v>139</v>
      </c>
      <c r="K76" s="3">
        <f>((Table2[[#This Row],[卖出价]]-Table2[[#This Row],[中签价]])*Table2[[#This Row],[中签数]]-Table2[[#This Row],[费用合计]])</f>
        <v>-139</v>
      </c>
      <c r="L76" s="5">
        <f>IFERROR(Table2[[#This Row],[收益额]]/Table2[[#This Row],[打新本金]],0)</f>
        <v>-6.11609707469277E-4</v>
      </c>
      <c r="M76" s="32">
        <v>1</v>
      </c>
      <c r="N76" s="2"/>
      <c r="O76" s="2">
        <f>Table2[[#This Row],[张恺霖
投资本金]]*Table2[[#This Row],[单次收益率]]*Table2[[#This Row],[结算系数]]</f>
        <v>0</v>
      </c>
      <c r="P76" s="2">
        <f>Table2[[#This Row],[张恺霖
投资本金]]+Table2[[#This Row],[张恺霖
投资收益]]</f>
        <v>0</v>
      </c>
      <c r="Q76" s="2">
        <v>20</v>
      </c>
      <c r="R76" s="2">
        <f>Table2[[#This Row],[张忻霖
投资本金]]*Table2[[#This Row],[单次收益率]]*Table2[[#This Row],[结算系数]]</f>
        <v>-1.223219414938554E-2</v>
      </c>
      <c r="S76" s="2">
        <f>Table2[[#This Row],[张忻霖
投资本金]]+Table2[[#This Row],[张忻霖
投资收益]]</f>
        <v>19.987767805850613</v>
      </c>
      <c r="T76" cm="1">
        <f t="array" ref="T76">_xlfn.SWITCH(Table2[[#This Row],[市场]],"HK",1,"US",7.77,"SG",6,1)</f>
        <v>1</v>
      </c>
      <c r="U76" s="3">
        <f>Table2[[#This Row],[汇率]]*Table2[[#This Row],[打新本金]]</f>
        <v>227269.12</v>
      </c>
      <c r="V76" s="3">
        <f>Table2[[#This Row],[费用合计]]*Table2[[#This Row],[汇率]]</f>
        <v>139</v>
      </c>
      <c r="W76" s="3">
        <f>Table2[[#This Row],[汇率]]*Table2[[#This Row],[收益额]]</f>
        <v>-139</v>
      </c>
    </row>
    <row r="77" spans="1:25" x14ac:dyDescent="0.4">
      <c r="A77" t="s">
        <v>109</v>
      </c>
      <c r="B77" t="s">
        <v>16</v>
      </c>
      <c r="C77" s="10">
        <v>120946.57</v>
      </c>
      <c r="D77">
        <v>30000</v>
      </c>
      <c r="E77" s="10">
        <v>124.31</v>
      </c>
      <c r="F77">
        <v>0</v>
      </c>
      <c r="G77" s="3"/>
      <c r="H77" s="3"/>
      <c r="I77" s="3"/>
      <c r="J77" s="3">
        <f>Table2[[#This Row],[打新费用]]+Table2[[#This Row],[交易费用]]</f>
        <v>124.31</v>
      </c>
      <c r="K77" s="3">
        <f>((Table2[[#This Row],[卖出价]]-Table2[[#This Row],[中签价]])*Table2[[#This Row],[中签数]]-Table2[[#This Row],[费用合计]])</f>
        <v>-124.31</v>
      </c>
      <c r="L77" s="5">
        <f>IFERROR(Table2[[#This Row],[收益额]]/Table2[[#This Row],[打新本金]],0)</f>
        <v>-1.0278092218737578E-3</v>
      </c>
      <c r="M77" s="32">
        <v>1</v>
      </c>
      <c r="N77" s="2"/>
      <c r="O77" s="2">
        <f>Table2[[#This Row],[张恺霖
投资本金]]*Table2[[#This Row],[单次收益率]]*Table2[[#This Row],[结算系数]]</f>
        <v>0</v>
      </c>
      <c r="P77" s="2">
        <f>Table2[[#This Row],[张恺霖
投资本金]]+Table2[[#This Row],[张恺霖
投资收益]]</f>
        <v>0</v>
      </c>
      <c r="Q77" s="2">
        <v>40</v>
      </c>
      <c r="R77" s="2">
        <f>Table2[[#This Row],[张忻霖
投资本金]]*Table2[[#This Row],[单次收益率]]*Table2[[#This Row],[结算系数]]</f>
        <v>-4.1112368874950317E-2</v>
      </c>
      <c r="S77" s="2">
        <f>Table2[[#This Row],[张忻霖
投资本金]]+Table2[[#This Row],[张忻霖
投资收益]]</f>
        <v>39.958887631125052</v>
      </c>
      <c r="T77" cm="1">
        <f t="array" ref="T77">_xlfn.SWITCH(Table2[[#This Row],[市场]],"HK",1,"US",7.77,"SG",6,1)</f>
        <v>1</v>
      </c>
      <c r="U77" s="3">
        <f>Table2[[#This Row],[汇率]]*Table2[[#This Row],[打新本金]]</f>
        <v>120946.57</v>
      </c>
      <c r="V77" s="3">
        <f>Table2[[#This Row],[费用合计]]*Table2[[#This Row],[汇率]]</f>
        <v>124.31</v>
      </c>
      <c r="W77" s="3">
        <f>Table2[[#This Row],[汇率]]*Table2[[#This Row],[收益额]]</f>
        <v>-124.31</v>
      </c>
    </row>
    <row r="78" spans="1:25" x14ac:dyDescent="0.4">
      <c r="A78" t="s">
        <v>110</v>
      </c>
      <c r="B78" t="s">
        <v>16</v>
      </c>
      <c r="C78" s="10">
        <v>147361.29999999999</v>
      </c>
      <c r="D78">
        <v>4500</v>
      </c>
      <c r="E78" s="10">
        <v>129.65</v>
      </c>
      <c r="F78">
        <v>0</v>
      </c>
      <c r="G78" s="3"/>
      <c r="H78" s="3"/>
      <c r="I78" s="3"/>
      <c r="J78" s="3">
        <f>Table2[[#This Row],[打新费用]]+Table2[[#This Row],[交易费用]]</f>
        <v>129.65</v>
      </c>
      <c r="K78" s="3">
        <f>((Table2[[#This Row],[卖出价]]-Table2[[#This Row],[中签价]])*Table2[[#This Row],[中签数]]-Table2[[#This Row],[费用合计]])</f>
        <v>-129.65</v>
      </c>
      <c r="L78" s="5">
        <f>IFERROR(Table2[[#This Row],[收益额]]/Table2[[#This Row],[打新本金]],0)</f>
        <v>-8.7981037083684807E-4</v>
      </c>
      <c r="M78" s="32">
        <v>1</v>
      </c>
      <c r="N78" s="2"/>
      <c r="O78" s="2">
        <f>Table2[[#This Row],[张恺霖
投资本金]]*Table2[[#This Row],[单次收益率]]*Table2[[#This Row],[结算系数]]</f>
        <v>0</v>
      </c>
      <c r="P78" s="2">
        <f>Table2[[#This Row],[张恺霖
投资本金]]+Table2[[#This Row],[张恺霖
投资收益]]</f>
        <v>0</v>
      </c>
      <c r="Q78" s="2">
        <v>10</v>
      </c>
      <c r="R78" s="2">
        <f>Table2[[#This Row],[张忻霖
投资本金]]*Table2[[#This Row],[单次收益率]]*Table2[[#This Row],[结算系数]]</f>
        <v>-8.79810370836848E-3</v>
      </c>
      <c r="S78" s="2">
        <f>Table2[[#This Row],[张忻霖
投资本金]]+Table2[[#This Row],[张忻霖
投资收益]]</f>
        <v>9.9912018962916314</v>
      </c>
      <c r="T78" cm="1">
        <f t="array" ref="T78">_xlfn.SWITCH(Table2[[#This Row],[市场]],"HK",1,"US",7.77,"SG",6,1)</f>
        <v>1</v>
      </c>
      <c r="U78" s="3">
        <f>Table2[[#This Row],[汇率]]*Table2[[#This Row],[打新本金]]</f>
        <v>147361.29999999999</v>
      </c>
      <c r="V78" s="3">
        <f>Table2[[#This Row],[费用合计]]*Table2[[#This Row],[汇率]]</f>
        <v>129.65</v>
      </c>
      <c r="W78" s="3">
        <f>Table2[[#This Row],[汇率]]*Table2[[#This Row],[收益额]]</f>
        <v>-129.65</v>
      </c>
    </row>
    <row r="79" spans="1:25" x14ac:dyDescent="0.4">
      <c r="A79" t="s">
        <v>111</v>
      </c>
      <c r="B79" t="s">
        <v>16</v>
      </c>
      <c r="C79" s="10">
        <v>346458.15</v>
      </c>
      <c r="D79">
        <v>450000</v>
      </c>
      <c r="E79" s="3">
        <v>169.69</v>
      </c>
      <c r="F79">
        <v>500</v>
      </c>
      <c r="G79" s="3">
        <v>7.62</v>
      </c>
      <c r="H79" s="3">
        <v>14.56</v>
      </c>
      <c r="I79" s="3">
        <v>26.04</v>
      </c>
      <c r="J79" s="3">
        <f>Table2[[#This Row],[打新费用]]+Table2[[#This Row],[交易费用]]</f>
        <v>195.73</v>
      </c>
      <c r="K79" s="3">
        <f>((Table2[[#This Row],[卖出价]]-Table2[[#This Row],[中签价]])*Table2[[#This Row],[中签数]]-Table2[[#This Row],[费用合计]])</f>
        <v>3274.27</v>
      </c>
      <c r="L79" s="5">
        <f>IFERROR(Table2[[#This Row],[收益额]]/Table2[[#This Row],[打新本金]],0)</f>
        <v>9.4506941170239452E-3</v>
      </c>
      <c r="M79" s="32">
        <v>1</v>
      </c>
      <c r="N79" s="2"/>
      <c r="O79" s="2">
        <f>Table2[[#This Row],[张恺霖
投资本金]]*Table2[[#This Row],[单次收益率]]*Table2[[#This Row],[结算系数]]</f>
        <v>0</v>
      </c>
      <c r="P79" s="2">
        <f>Table2[[#This Row],[张恺霖
投资本金]]+Table2[[#This Row],[张恺霖
投资收益]]</f>
        <v>0</v>
      </c>
      <c r="Q79" s="2">
        <v>50</v>
      </c>
      <c r="R79" s="2">
        <f>Table2[[#This Row],[张忻霖
投资本金]]*Table2[[#This Row],[单次收益率]]*Table2[[#This Row],[结算系数]]</f>
        <v>0.47253470585119728</v>
      </c>
      <c r="S79" s="2">
        <f>Table2[[#This Row],[张忻霖
投资本金]]+Table2[[#This Row],[张忻霖
投资收益]]</f>
        <v>50.472534705851196</v>
      </c>
      <c r="T79" cm="1">
        <f t="array" ref="T79">_xlfn.SWITCH(Table2[[#This Row],[市场]],"HK",1,"US",7.77,"SG",6,1)</f>
        <v>1</v>
      </c>
      <c r="U79" s="3">
        <f>Table2[[#This Row],[汇率]]*Table2[[#This Row],[打新本金]]</f>
        <v>346458.15</v>
      </c>
      <c r="V79" s="3">
        <f>Table2[[#This Row],[费用合计]]*Table2[[#This Row],[汇率]]</f>
        <v>195.73</v>
      </c>
      <c r="W79" s="3">
        <f>Table2[[#This Row],[汇率]]*Table2[[#This Row],[收益额]]</f>
        <v>3274.27</v>
      </c>
      <c r="Y79" s="27">
        <v>46128</v>
      </c>
    </row>
    <row r="80" spans="1:25" x14ac:dyDescent="0.4">
      <c r="A80" t="s">
        <v>112</v>
      </c>
      <c r="B80" t="s">
        <v>16</v>
      </c>
      <c r="C80" s="10">
        <v>423993.28</v>
      </c>
      <c r="D80">
        <v>20000</v>
      </c>
      <c r="E80" s="3">
        <v>604.47</v>
      </c>
      <c r="F80">
        <v>200</v>
      </c>
      <c r="G80" s="3">
        <v>209.88</v>
      </c>
      <c r="H80" s="3">
        <v>328.2</v>
      </c>
      <c r="I80" s="3">
        <v>108.38</v>
      </c>
      <c r="J80" s="3">
        <f>Table2[[#This Row],[打新费用]]+Table2[[#This Row],[交易费用]]</f>
        <v>712.85</v>
      </c>
      <c r="K80" s="3">
        <f>((Table2[[#This Row],[卖出价]]-Table2[[#This Row],[中签价]])*Table2[[#This Row],[中签数]]-Table2[[#This Row],[费用合计]])</f>
        <v>22951.15</v>
      </c>
      <c r="L80" s="5">
        <f>IFERROR(Table2[[#This Row],[收益额]]/Table2[[#This Row],[打新本金]],0)</f>
        <v>5.4130928678869629E-2</v>
      </c>
      <c r="M80" s="32">
        <v>1</v>
      </c>
      <c r="N80" s="2"/>
      <c r="O80" s="2">
        <f>Table2[[#This Row],[张恺霖
投资本金]]*Table2[[#This Row],[单次收益率]]*Table2[[#This Row],[结算系数]]</f>
        <v>0</v>
      </c>
      <c r="P80" s="2">
        <f>Table2[[#This Row],[张恺霖
投资本金]]+Table2[[#This Row],[张恺霖
投资收益]]</f>
        <v>0</v>
      </c>
      <c r="Q80" s="2">
        <v>20</v>
      </c>
      <c r="R80" s="2">
        <f>Table2[[#This Row],[张忻霖
投资本金]]*Table2[[#This Row],[单次收益率]]*Table2[[#This Row],[结算系数]]</f>
        <v>1.0826185735773926</v>
      </c>
      <c r="S80" s="2">
        <f>Table2[[#This Row],[张忻霖
投资本金]]+Table2[[#This Row],[张忻霖
投资收益]]</f>
        <v>21.082618573577392</v>
      </c>
      <c r="T80" cm="1">
        <f t="array" ref="T80">_xlfn.SWITCH(Table2[[#This Row],[市场]],"HK",1,"US",7.77,"SG",6,1)</f>
        <v>1</v>
      </c>
      <c r="U80" s="3">
        <f>Table2[[#This Row],[汇率]]*Table2[[#This Row],[打新本金]]</f>
        <v>423993.28</v>
      </c>
      <c r="V80" s="3">
        <f>Table2[[#This Row],[费用合计]]*Table2[[#This Row],[汇率]]</f>
        <v>712.85</v>
      </c>
      <c r="W80" s="3">
        <f>Table2[[#This Row],[汇率]]*Table2[[#This Row],[收益额]]</f>
        <v>22951.15</v>
      </c>
      <c r="Y80" s="27">
        <v>46132</v>
      </c>
    </row>
    <row r="81" spans="1:25" x14ac:dyDescent="0.4">
      <c r="A81" t="s">
        <v>113</v>
      </c>
      <c r="B81" t="s">
        <v>16</v>
      </c>
      <c r="C81" s="10">
        <v>78483.600000000006</v>
      </c>
      <c r="D81">
        <v>10000</v>
      </c>
      <c r="E81" s="3">
        <v>226.12</v>
      </c>
      <c r="F81">
        <v>100</v>
      </c>
      <c r="G81" s="3">
        <v>77.7</v>
      </c>
      <c r="H81" s="3">
        <v>83.8</v>
      </c>
      <c r="I81" s="3">
        <v>27.49</v>
      </c>
      <c r="J81" s="3">
        <f>Table2[[#This Row],[打新费用]]+Table2[[#This Row],[交易费用]]</f>
        <v>253.61</v>
      </c>
      <c r="K81" s="3">
        <f>((Table2[[#This Row],[卖出价]]-Table2[[#This Row],[中签价]])*Table2[[#This Row],[中签数]]-Table2[[#This Row],[费用合计]])</f>
        <v>356.38999999999942</v>
      </c>
      <c r="L81" s="5">
        <f>IFERROR(Table2[[#This Row],[收益额]]/Table2[[#This Row],[打新本金]],0)</f>
        <v>4.5409486822724672E-3</v>
      </c>
      <c r="M81" s="32">
        <v>1</v>
      </c>
      <c r="N81" s="2"/>
      <c r="O81" s="2">
        <f>Table2[[#This Row],[张恺霖
投资本金]]*Table2[[#This Row],[单次收益率]]*Table2[[#This Row],[结算系数]]</f>
        <v>0</v>
      </c>
      <c r="P81" s="2">
        <f>Table2[[#This Row],[张恺霖
投资本金]]+Table2[[#This Row],[张恺霖
投资收益]]</f>
        <v>0</v>
      </c>
      <c r="Q81" s="2">
        <v>20</v>
      </c>
      <c r="R81" s="2">
        <f>Table2[[#This Row],[张忻霖
投资本金]]*Table2[[#This Row],[单次收益率]]*Table2[[#This Row],[结算系数]]</f>
        <v>9.0818973645449344E-2</v>
      </c>
      <c r="S81" s="2">
        <f>Table2[[#This Row],[张忻霖
投资本金]]+Table2[[#This Row],[张忻霖
投资收益]]</f>
        <v>20.090818973645451</v>
      </c>
      <c r="T81" cm="1">
        <f t="array" ref="T81">_xlfn.SWITCH(Table2[[#This Row],[市场]],"HK",1,"US",7.77,"SG",6,1)</f>
        <v>1</v>
      </c>
      <c r="U81" s="3">
        <f>Table2[[#This Row],[汇率]]*Table2[[#This Row],[打新本金]]</f>
        <v>78483.600000000006</v>
      </c>
      <c r="V81" s="3">
        <f>Table2[[#This Row],[费用合计]]*Table2[[#This Row],[汇率]]</f>
        <v>253.61</v>
      </c>
      <c r="W81" s="3">
        <f>Table2[[#This Row],[汇率]]*Table2[[#This Row],[收益额]]</f>
        <v>356.38999999999942</v>
      </c>
      <c r="Y81" s="27">
        <v>46134</v>
      </c>
    </row>
    <row r="82" spans="1:25" x14ac:dyDescent="0.4">
      <c r="A82" t="s">
        <v>114</v>
      </c>
      <c r="B82" t="s">
        <v>16</v>
      </c>
      <c r="C82" s="10">
        <v>15066.43</v>
      </c>
      <c r="D82">
        <v>6000</v>
      </c>
      <c r="E82" s="3">
        <v>109.99</v>
      </c>
      <c r="F82">
        <v>0</v>
      </c>
      <c r="G82" s="3"/>
      <c r="H82" s="3"/>
      <c r="I82" s="3"/>
      <c r="J82" s="3">
        <f>Table2[[#This Row],[打新费用]]+Table2[[#This Row],[交易费用]]</f>
        <v>109.99</v>
      </c>
      <c r="K82" s="3">
        <f>((Table2[[#This Row],[卖出价]]-Table2[[#This Row],[中签价]])*Table2[[#This Row],[中签数]]-Table2[[#This Row],[费用合计]])</f>
        <v>-109.99</v>
      </c>
      <c r="L82" s="5">
        <f>IFERROR(Table2[[#This Row],[收益额]]/Table2[[#This Row],[打新本金]],0)</f>
        <v>-7.3003359123561453E-3</v>
      </c>
      <c r="M82" s="32">
        <v>1</v>
      </c>
      <c r="N82" s="2"/>
      <c r="O82" s="2">
        <f>Table2[[#This Row],[张恺霖
投资本金]]*Table2[[#This Row],[单次收益率]]*Table2[[#This Row],[结算系数]]</f>
        <v>0</v>
      </c>
      <c r="P82" s="2">
        <f>Table2[[#This Row],[张恺霖
投资本金]]+Table2[[#This Row],[张恺霖
投资收益]]</f>
        <v>0</v>
      </c>
      <c r="Q82" s="2">
        <v>30</v>
      </c>
      <c r="R82" s="2">
        <f>Table2[[#This Row],[张忻霖
投资本金]]*Table2[[#This Row],[单次收益率]]*Table2[[#This Row],[结算系数]]</f>
        <v>-0.21901007737068437</v>
      </c>
      <c r="S82" s="2">
        <f>Table2[[#This Row],[张忻霖
投资本金]]+Table2[[#This Row],[张忻霖
投资收益]]</f>
        <v>29.780989922629317</v>
      </c>
      <c r="T82" cm="1">
        <f t="array" ref="T82">_xlfn.SWITCH(Table2[[#This Row],[市场]],"HK",1,"US",7.77,"SG",6,1)</f>
        <v>1</v>
      </c>
      <c r="U82" s="3">
        <f>Table2[[#This Row],[汇率]]*Table2[[#This Row],[打新本金]]</f>
        <v>15066.43</v>
      </c>
      <c r="V82" s="3">
        <f>Table2[[#This Row],[费用合计]]*Table2[[#This Row],[汇率]]</f>
        <v>109.99</v>
      </c>
      <c r="W82" s="3">
        <f>Table2[[#This Row],[汇率]]*Table2[[#This Row],[收益额]]</f>
        <v>-109.99</v>
      </c>
    </row>
    <row r="83" spans="1:25" x14ac:dyDescent="0.4">
      <c r="A83" t="s">
        <v>115</v>
      </c>
      <c r="B83" t="s">
        <v>16</v>
      </c>
      <c r="C83" s="10">
        <v>555142.72</v>
      </c>
      <c r="D83">
        <v>30000</v>
      </c>
      <c r="E83" s="3">
        <v>265.18</v>
      </c>
      <c r="F83">
        <v>30</v>
      </c>
      <c r="G83" s="3">
        <v>183.2</v>
      </c>
      <c r="H83" s="3">
        <v>706</v>
      </c>
      <c r="I83" s="3">
        <v>45.83</v>
      </c>
      <c r="J83" s="3">
        <f>Table2[[#This Row],[打新费用]]+Table2[[#This Row],[交易费用]]</f>
        <v>311.01</v>
      </c>
      <c r="K83" s="3">
        <f>((Table2[[#This Row],[卖出价]]-Table2[[#This Row],[中签价]])*Table2[[#This Row],[中签数]]-Table2[[#This Row],[费用合计]])</f>
        <v>15372.989999999998</v>
      </c>
      <c r="L83" s="5">
        <f>IFERROR(Table2[[#This Row],[收益额]]/Table2[[#This Row],[打新本金]],0)</f>
        <v>2.7691960006248482E-2</v>
      </c>
      <c r="M83" s="32">
        <v>1</v>
      </c>
      <c r="N83" s="2"/>
      <c r="O83" s="2">
        <f>Table2[[#This Row],[张恺霖
投资本金]]*Table2[[#This Row],[单次收益率]]*Table2[[#This Row],[结算系数]]</f>
        <v>0</v>
      </c>
      <c r="P83" s="2">
        <f>Table2[[#This Row],[张恺霖
投资本金]]+Table2[[#This Row],[张恺霖
投资收益]]</f>
        <v>0</v>
      </c>
      <c r="Q83" s="2">
        <v>30</v>
      </c>
      <c r="R83" s="2">
        <f>Table2[[#This Row],[张忻霖
投资本金]]*Table2[[#This Row],[单次收益率]]*Table2[[#This Row],[结算系数]]</f>
        <v>0.83075880018745452</v>
      </c>
      <c r="S83" s="2">
        <f>Table2[[#This Row],[张忻霖
投资本金]]+Table2[[#This Row],[张忻霖
投资收益]]</f>
        <v>30.830758800187454</v>
      </c>
      <c r="T83" cm="1">
        <f t="array" ref="T83">_xlfn.SWITCH(Table2[[#This Row],[市场]],"HK",1,"US",7.77,"SG",6,1)</f>
        <v>1</v>
      </c>
      <c r="U83" s="3">
        <f>Table2[[#This Row],[汇率]]*Table2[[#This Row],[打新本金]]</f>
        <v>555142.72</v>
      </c>
      <c r="V83" s="3">
        <f>Table2[[#This Row],[费用合计]]*Table2[[#This Row],[汇率]]</f>
        <v>311.01</v>
      </c>
      <c r="W83" s="3">
        <f>Table2[[#This Row],[汇率]]*Table2[[#This Row],[收益额]]</f>
        <v>15372.989999999998</v>
      </c>
      <c r="Y83" s="27">
        <v>46139</v>
      </c>
    </row>
    <row r="84" spans="1:25" x14ac:dyDescent="0.4">
      <c r="A84" t="s">
        <v>116</v>
      </c>
      <c r="B84" t="s">
        <v>16</v>
      </c>
      <c r="C84" s="10">
        <v>62039.42</v>
      </c>
      <c r="D84">
        <v>20000</v>
      </c>
      <c r="E84" s="3">
        <v>169.45</v>
      </c>
      <c r="F84">
        <v>200</v>
      </c>
      <c r="G84" s="3">
        <v>27.64</v>
      </c>
      <c r="H84" s="3">
        <v>27.22</v>
      </c>
      <c r="I84" s="3">
        <v>23.28</v>
      </c>
      <c r="J84" s="3">
        <f>Table2[[#This Row],[打新费用]]+Table2[[#This Row],[交易费用]]</f>
        <v>192.73</v>
      </c>
      <c r="K84" s="3">
        <f>((Table2[[#This Row],[卖出价]]-Table2[[#This Row],[中签价]])*Table2[[#This Row],[中签数]]-Table2[[#This Row],[费用合计]])</f>
        <v>-276.73000000000036</v>
      </c>
      <c r="L84" s="5">
        <f>IFERROR(Table2[[#This Row],[收益额]]/Table2[[#This Row],[打新本金]],0)</f>
        <v>-4.4605510496390898E-3</v>
      </c>
      <c r="M84" s="32">
        <v>1</v>
      </c>
      <c r="N84" s="2"/>
      <c r="O84" s="2">
        <f>Table2[[#This Row],[张恺霖
投资本金]]*Table2[[#This Row],[单次收益率]]*Table2[[#This Row],[结算系数]]</f>
        <v>0</v>
      </c>
      <c r="P84" s="2">
        <f>Table2[[#This Row],[张恺霖
投资本金]]+Table2[[#This Row],[张恺霖
投资收益]]</f>
        <v>0</v>
      </c>
      <c r="Q84" s="2">
        <v>30</v>
      </c>
      <c r="R84" s="2">
        <f>Table2[[#This Row],[张忻霖
投资本金]]*Table2[[#This Row],[单次收益率]]*Table2[[#This Row],[结算系数]]</f>
        <v>-0.13381653148917269</v>
      </c>
      <c r="S84" s="2">
        <f>Table2[[#This Row],[张忻霖
投资本金]]+Table2[[#This Row],[张忻霖
投资收益]]</f>
        <v>29.866183468510826</v>
      </c>
      <c r="T84" cm="1">
        <f t="array" ref="T84">_xlfn.SWITCH(Table2[[#This Row],[市场]],"HK",1,"US",7.77,"SG",6,1)</f>
        <v>1</v>
      </c>
      <c r="U84" s="3">
        <f>Table2[[#This Row],[汇率]]*Table2[[#This Row],[打新本金]]</f>
        <v>62039.42</v>
      </c>
      <c r="V84" s="3">
        <f>Table2[[#This Row],[费用合计]]*Table2[[#This Row],[汇率]]</f>
        <v>192.73</v>
      </c>
      <c r="W84" s="3">
        <f>Table2[[#This Row],[汇率]]*Table2[[#This Row],[收益额]]</f>
        <v>-276.73000000000036</v>
      </c>
      <c r="Y84" s="27">
        <v>46139</v>
      </c>
    </row>
    <row r="85" spans="1:25" x14ac:dyDescent="0.4">
      <c r="A85" t="s">
        <v>117</v>
      </c>
      <c r="B85" t="s">
        <v>16</v>
      </c>
      <c r="C85" s="10">
        <v>424235.7</v>
      </c>
      <c r="D85">
        <v>400000</v>
      </c>
      <c r="E85" s="3">
        <v>419.11</v>
      </c>
      <c r="F85">
        <v>500</v>
      </c>
      <c r="G85" s="3">
        <v>10.5</v>
      </c>
      <c r="H85" s="3">
        <v>34.020000000000003</v>
      </c>
      <c r="I85" s="3">
        <v>40.090000000000003</v>
      </c>
      <c r="J85" s="3">
        <f>Table2[[#This Row],[打新费用]]+Table2[[#This Row],[交易费用]]</f>
        <v>459.20000000000005</v>
      </c>
      <c r="K85" s="3">
        <f>((Table2[[#This Row],[卖出价]]-Table2[[#This Row],[中签价]])*Table2[[#This Row],[中签数]]-Table2[[#This Row],[费用合计]])</f>
        <v>11300.800000000001</v>
      </c>
      <c r="L85" s="5">
        <f>IFERROR(Table2[[#This Row],[收益额]]/Table2[[#This Row],[打新本金]],0)</f>
        <v>2.6638022212652074E-2</v>
      </c>
      <c r="M85" s="32">
        <v>1</v>
      </c>
      <c r="N85" s="2"/>
      <c r="O85" s="2">
        <f>Table2[[#This Row],[张恺霖
投资本金]]*Table2[[#This Row],[单次收益率]]*Table2[[#This Row],[结算系数]]</f>
        <v>0</v>
      </c>
      <c r="P85" s="2">
        <f>Table2[[#This Row],[张恺霖
投资本金]]+Table2[[#This Row],[张恺霖
投资收益]]</f>
        <v>0</v>
      </c>
      <c r="Q85" s="2">
        <v>20</v>
      </c>
      <c r="R85" s="2">
        <f>Table2[[#This Row],[张忻霖
投资本金]]*Table2[[#This Row],[单次收益率]]*Table2[[#This Row],[结算系数]]</f>
        <v>0.53276044425304148</v>
      </c>
      <c r="S85" s="2">
        <f>Table2[[#This Row],[张忻霖
投资本金]]+Table2[[#This Row],[张忻霖
投资收益]]</f>
        <v>20.532760444253043</v>
      </c>
      <c r="T85" cm="1">
        <f t="array" ref="T85">_xlfn.SWITCH(Table2[[#This Row],[市场]],"HK",1,"US",7.77,"SG",6,1)</f>
        <v>1</v>
      </c>
      <c r="U85" s="3">
        <f>Table2[[#This Row],[汇率]]*Table2[[#This Row],[打新本金]]</f>
        <v>424235.7</v>
      </c>
      <c r="V85" s="3">
        <f>Table2[[#This Row],[费用合计]]*Table2[[#This Row],[汇率]]</f>
        <v>459.20000000000005</v>
      </c>
      <c r="W85" s="3">
        <f>Table2[[#This Row],[汇率]]*Table2[[#This Row],[收益额]]</f>
        <v>11300.800000000001</v>
      </c>
      <c r="Y85" s="27">
        <v>46154</v>
      </c>
    </row>
    <row r="86" spans="1:25" x14ac:dyDescent="0.4">
      <c r="A86" t="s">
        <v>118</v>
      </c>
      <c r="B86" t="s">
        <v>16</v>
      </c>
      <c r="C86" s="10">
        <v>219693.49</v>
      </c>
      <c r="D86">
        <v>100000</v>
      </c>
      <c r="E86" s="3">
        <v>237.82</v>
      </c>
      <c r="F86">
        <v>0</v>
      </c>
      <c r="G86" s="3"/>
      <c r="H86" s="3"/>
      <c r="I86" s="3"/>
      <c r="J86" s="3">
        <f>Table2[[#This Row],[打新费用]]+Table2[[#This Row],[交易费用]]</f>
        <v>237.82</v>
      </c>
      <c r="K86" s="3">
        <f>((Table2[[#This Row],[卖出价]]-Table2[[#This Row],[中签价]])*Table2[[#This Row],[中签数]]-Table2[[#This Row],[费用合计]])</f>
        <v>-237.82</v>
      </c>
      <c r="L86" s="5">
        <f>IFERROR(Table2[[#This Row],[收益额]]/Table2[[#This Row],[打新本金]],0)</f>
        <v>-1.0825081799192139E-3</v>
      </c>
      <c r="M86" s="32">
        <v>1</v>
      </c>
      <c r="N86" s="2"/>
      <c r="O86" s="2">
        <f>Table2[[#This Row],[张恺霖
投资本金]]*Table2[[#This Row],[单次收益率]]*Table2[[#This Row],[结算系数]]</f>
        <v>0</v>
      </c>
      <c r="P86" s="2">
        <f>Table2[[#This Row],[张恺霖
投资本金]]+Table2[[#This Row],[张恺霖
投资收益]]</f>
        <v>0</v>
      </c>
      <c r="Q86" s="2">
        <v>20</v>
      </c>
      <c r="R86" s="2">
        <f>Table2[[#This Row],[张忻霖
投资本金]]*Table2[[#This Row],[单次收益率]]*Table2[[#This Row],[结算系数]]</f>
        <v>-2.165016359838428E-2</v>
      </c>
      <c r="S86" s="2">
        <f>Table2[[#This Row],[张忻霖
投资本金]]+Table2[[#This Row],[张忻霖
投资收益]]</f>
        <v>19.978349836401616</v>
      </c>
      <c r="T86" cm="1">
        <f t="array" ref="T86">_xlfn.SWITCH(Table2[[#This Row],[市场]],"HK",1,"US",7.77,"SG",6,1)</f>
        <v>1</v>
      </c>
      <c r="U86" s="3">
        <f>Table2[[#This Row],[汇率]]*Table2[[#This Row],[打新本金]]</f>
        <v>219693.49</v>
      </c>
      <c r="V86" s="3">
        <f>Table2[[#This Row],[费用合计]]*Table2[[#This Row],[汇率]]</f>
        <v>237.82</v>
      </c>
      <c r="W86" s="3">
        <f>Table2[[#This Row],[汇率]]*Table2[[#This Row],[收益额]]</f>
        <v>-237.82</v>
      </c>
    </row>
    <row r="87" spans="1:25" x14ac:dyDescent="0.4">
      <c r="A87" t="s">
        <v>119</v>
      </c>
      <c r="B87" t="s">
        <v>16</v>
      </c>
      <c r="C87" s="10">
        <v>616151.85</v>
      </c>
      <c r="D87">
        <v>200000</v>
      </c>
      <c r="E87" s="3">
        <v>227.61</v>
      </c>
      <c r="F87">
        <v>0</v>
      </c>
      <c r="G87" s="3"/>
      <c r="H87" s="3"/>
      <c r="I87" s="3"/>
      <c r="J87" s="3">
        <f>Table2[[#This Row],[打新费用]]+Table2[[#This Row],[交易费用]]</f>
        <v>227.61</v>
      </c>
      <c r="K87" s="3">
        <f>((Table2[[#This Row],[卖出价]]-Table2[[#This Row],[中签价]])*Table2[[#This Row],[中签数]]-Table2[[#This Row],[费用合计]])</f>
        <v>-227.61</v>
      </c>
      <c r="L87" s="5">
        <f>IFERROR(Table2[[#This Row],[收益额]]/Table2[[#This Row],[打新本金]],0)</f>
        <v>-3.6940569114577847E-4</v>
      </c>
      <c r="M87" s="32">
        <v>1</v>
      </c>
      <c r="N87" s="2"/>
      <c r="O87" s="2">
        <f>Table2[[#This Row],[张恺霖
投资本金]]*Table2[[#This Row],[单次收益率]]*Table2[[#This Row],[结算系数]]</f>
        <v>0</v>
      </c>
      <c r="P87" s="2">
        <f>Table2[[#This Row],[张恺霖
投资本金]]+Table2[[#This Row],[张恺霖
投资收益]]</f>
        <v>0</v>
      </c>
      <c r="Q87" s="2">
        <v>20</v>
      </c>
      <c r="R87" s="2">
        <f>Table2[[#This Row],[张忻霖
投资本金]]*Table2[[#This Row],[单次收益率]]*Table2[[#This Row],[结算系数]]</f>
        <v>-7.388113822915569E-3</v>
      </c>
      <c r="S87" s="2">
        <f>Table2[[#This Row],[张忻霖
投资本金]]+Table2[[#This Row],[张忻霖
投资收益]]</f>
        <v>19.992611886177084</v>
      </c>
      <c r="T87" cm="1">
        <f t="array" ref="T87">_xlfn.SWITCH(Table2[[#This Row],[市场]],"HK",1,"US",7.77,"SG",6,1)</f>
        <v>1</v>
      </c>
      <c r="U87" s="3">
        <f>Table2[[#This Row],[汇率]]*Table2[[#This Row],[打新本金]]</f>
        <v>616151.85</v>
      </c>
      <c r="V87" s="3">
        <f>Table2[[#This Row],[费用合计]]*Table2[[#This Row],[汇率]]</f>
        <v>227.61</v>
      </c>
      <c r="W87" s="3">
        <f>Table2[[#This Row],[汇率]]*Table2[[#This Row],[收益额]]</f>
        <v>-227.61</v>
      </c>
    </row>
    <row r="88" spans="1:25" x14ac:dyDescent="0.4">
      <c r="A88" t="s">
        <v>120</v>
      </c>
      <c r="B88" t="s">
        <v>16</v>
      </c>
      <c r="C88" s="10">
        <v>609181.26</v>
      </c>
      <c r="D88">
        <v>100000</v>
      </c>
      <c r="E88" s="3">
        <v>494.82</v>
      </c>
      <c r="F88">
        <v>50</v>
      </c>
      <c r="G88" s="3">
        <v>60.3</v>
      </c>
      <c r="H88" s="3">
        <v>80.55</v>
      </c>
      <c r="I88" s="3">
        <v>21.69</v>
      </c>
      <c r="J88" s="3">
        <f>Table2[[#This Row],[打新费用]]+Table2[[#This Row],[交易费用]]</f>
        <v>516.51</v>
      </c>
      <c r="K88" s="3">
        <f>((Table2[[#This Row],[卖出价]]-Table2[[#This Row],[中签价]])*Table2[[#This Row],[中签数]]-Table2[[#This Row],[费用合计]])</f>
        <v>495.99</v>
      </c>
      <c r="L88" s="5">
        <f>IFERROR(Table2[[#This Row],[收益额]]/Table2[[#This Row],[打新本金]],0)</f>
        <v>8.1419116536841593E-4</v>
      </c>
      <c r="M88" s="32">
        <v>1</v>
      </c>
      <c r="N88" s="2"/>
      <c r="O88" s="2">
        <f>Table2[[#This Row],[张恺霖
投资本金]]*Table2[[#This Row],[单次收益率]]*Table2[[#This Row],[结算系数]]</f>
        <v>0</v>
      </c>
      <c r="P88" s="2">
        <f>Table2[[#This Row],[张恺霖
投资本金]]+Table2[[#This Row],[张恺霖
投资收益]]</f>
        <v>0</v>
      </c>
      <c r="Q88" s="2">
        <v>20</v>
      </c>
      <c r="R88" s="2">
        <f>Table2[[#This Row],[张忻霖
投资本金]]*Table2[[#This Row],[单次收益率]]*Table2[[#This Row],[结算系数]]</f>
        <v>1.6283823307368318E-2</v>
      </c>
      <c r="S88" s="2">
        <f>Table2[[#This Row],[张忻霖
投资本金]]+Table2[[#This Row],[张忻霖
投资收益]]</f>
        <v>20.016283823307369</v>
      </c>
      <c r="T88" cm="1">
        <f t="array" ref="T88">_xlfn.SWITCH(Table2[[#This Row],[市场]],"HK",1,"US",7.77,"SG",6,1)</f>
        <v>1</v>
      </c>
      <c r="U88" s="3">
        <f>Table2[[#This Row],[汇率]]*Table2[[#This Row],[打新本金]]</f>
        <v>609181.26</v>
      </c>
      <c r="V88" s="3">
        <f>Table2[[#This Row],[费用合计]]*Table2[[#This Row],[汇率]]</f>
        <v>516.51</v>
      </c>
      <c r="W88" s="3">
        <f>Table2[[#This Row],[汇率]]*Table2[[#This Row],[收益额]]</f>
        <v>495.99</v>
      </c>
      <c r="Y88" s="27">
        <v>46161</v>
      </c>
    </row>
    <row r="89" spans="1:25" x14ac:dyDescent="0.4">
      <c r="A89" t="s">
        <v>121</v>
      </c>
      <c r="B89" t="s">
        <v>16</v>
      </c>
      <c r="C89" s="10">
        <v>106624.57</v>
      </c>
      <c r="D89">
        <v>40000</v>
      </c>
      <c r="E89" s="3">
        <v>167.98</v>
      </c>
      <c r="F89">
        <v>0</v>
      </c>
      <c r="G89" s="3"/>
      <c r="H89" s="3"/>
      <c r="I89" s="3"/>
      <c r="J89" s="3">
        <f>Table2[[#This Row],[打新费用]]+Table2[[#This Row],[交易费用]]</f>
        <v>167.98</v>
      </c>
      <c r="K89" s="3">
        <f>((Table2[[#This Row],[卖出价]]-Table2[[#This Row],[中签价]])*Table2[[#This Row],[中签数]]-Table2[[#This Row],[费用合计]])</f>
        <v>-167.98</v>
      </c>
      <c r="L89" s="5">
        <f>IFERROR(Table2[[#This Row],[收益额]]/Table2[[#This Row],[打新本金]],0)</f>
        <v>-1.57543425497519E-3</v>
      </c>
      <c r="M89" s="32">
        <v>1</v>
      </c>
      <c r="N89" s="2"/>
      <c r="O89" s="2">
        <f>Table2[[#This Row],[张恺霖
投资本金]]*Table2[[#This Row],[单次收益率]]*Table2[[#This Row],[结算系数]]</f>
        <v>0</v>
      </c>
      <c r="P89" s="2">
        <f>Table2[[#This Row],[张恺霖
投资本金]]+Table2[[#This Row],[张恺霖
投资收益]]</f>
        <v>0</v>
      </c>
      <c r="Q89" s="2">
        <v>20</v>
      </c>
      <c r="R89" s="2">
        <f>Table2[[#This Row],[张忻霖
投资本金]]*Table2[[#This Row],[单次收益率]]*Table2[[#This Row],[结算系数]]</f>
        <v>-3.1508685099503803E-2</v>
      </c>
      <c r="S89" s="2">
        <f>Table2[[#This Row],[张忻霖
投资本金]]+Table2[[#This Row],[张忻霖
投资收益]]</f>
        <v>19.968491314900497</v>
      </c>
      <c r="T89" cm="1">
        <f t="array" ref="T89">_xlfn.SWITCH(Table2[[#This Row],[市场]],"HK",1,"US",7.77,"SG",6,1)</f>
        <v>1</v>
      </c>
      <c r="U89" s="3">
        <f>Table2[[#This Row],[汇率]]*Table2[[#This Row],[打新本金]]</f>
        <v>106624.57</v>
      </c>
      <c r="V89" s="3">
        <f>Table2[[#This Row],[费用合计]]*Table2[[#This Row],[汇率]]</f>
        <v>167.98</v>
      </c>
      <c r="W89" s="3">
        <f>Table2[[#This Row],[汇率]]*Table2[[#This Row],[收益额]]</f>
        <v>-167.98</v>
      </c>
    </row>
    <row r="90" spans="1:25" x14ac:dyDescent="0.4">
      <c r="A90" t="s">
        <v>122</v>
      </c>
      <c r="B90" t="s">
        <v>16</v>
      </c>
      <c r="C90" s="10">
        <v>688170.91</v>
      </c>
      <c r="D90">
        <v>90000</v>
      </c>
      <c r="E90" s="3">
        <v>236.39</v>
      </c>
      <c r="F90">
        <v>0</v>
      </c>
      <c r="G90" s="3"/>
      <c r="H90" s="3"/>
      <c r="I90" s="3"/>
      <c r="J90" s="3">
        <f>Table2[[#This Row],[打新费用]]+Table2[[#This Row],[交易费用]]</f>
        <v>236.39</v>
      </c>
      <c r="K90" s="3">
        <f>((Table2[[#This Row],[卖出价]]-Table2[[#This Row],[中签价]])*Table2[[#This Row],[中签数]]-Table2[[#This Row],[费用合计]])</f>
        <v>-236.39</v>
      </c>
      <c r="L90" s="5">
        <f>IFERROR(Table2[[#This Row],[收益额]]/Table2[[#This Row],[打新本金]],0)</f>
        <v>-3.4350478429842374E-4</v>
      </c>
      <c r="M90" s="32">
        <v>1</v>
      </c>
      <c r="N90" s="2"/>
      <c r="O90" s="2">
        <f>Table2[[#This Row],[张恺霖
投资本金]]*Table2[[#This Row],[单次收益率]]*Table2[[#This Row],[结算系数]]</f>
        <v>0</v>
      </c>
      <c r="P90" s="2">
        <f>Table2[[#This Row],[张恺霖
投资本金]]+Table2[[#This Row],[张恺霖
投资收益]]</f>
        <v>0</v>
      </c>
      <c r="Q90" s="2">
        <v>20</v>
      </c>
      <c r="R90" s="2">
        <f>Table2[[#This Row],[张忻霖
投资本金]]*Table2[[#This Row],[单次收益率]]*Table2[[#This Row],[结算系数]]</f>
        <v>-6.8700956859684744E-3</v>
      </c>
      <c r="S90" s="2">
        <f>Table2[[#This Row],[张忻霖
投资本金]]+Table2[[#This Row],[张忻霖
投资收益]]</f>
        <v>19.993129904314031</v>
      </c>
      <c r="T90" cm="1">
        <f t="array" ref="T90">_xlfn.SWITCH(Table2[[#This Row],[市场]],"HK",1,"US",7.77,"SG",6,1)</f>
        <v>1</v>
      </c>
      <c r="U90" s="3">
        <f>Table2[[#This Row],[汇率]]*Table2[[#This Row],[打新本金]]</f>
        <v>688170.91</v>
      </c>
      <c r="V90" s="3">
        <f>Table2[[#This Row],[费用合计]]*Table2[[#This Row],[汇率]]</f>
        <v>236.39</v>
      </c>
      <c r="W90" s="3">
        <f>Table2[[#This Row],[汇率]]*Table2[[#This Row],[收益额]]</f>
        <v>-236.39</v>
      </c>
    </row>
    <row r="91" spans="1:25" x14ac:dyDescent="0.4">
      <c r="A91" t="s">
        <v>123</v>
      </c>
      <c r="B91" t="s">
        <v>16</v>
      </c>
      <c r="C91" s="10">
        <v>560597.18000000005</v>
      </c>
      <c r="D91">
        <v>100000</v>
      </c>
      <c r="E91" s="3">
        <v>205.76</v>
      </c>
      <c r="F91">
        <v>0</v>
      </c>
      <c r="G91" s="3"/>
      <c r="H91" s="3"/>
      <c r="I91" s="3"/>
      <c r="J91" s="3">
        <f>Table2[[#This Row],[打新费用]]+Table2[[#This Row],[交易费用]]</f>
        <v>205.76</v>
      </c>
      <c r="K91" s="3">
        <f>((Table2[[#This Row],[卖出价]]-Table2[[#This Row],[中签价]])*Table2[[#This Row],[中签数]]-Table2[[#This Row],[费用合计]])</f>
        <v>-205.76</v>
      </c>
      <c r="L91" s="5">
        <f>IFERROR(Table2[[#This Row],[收益额]]/Table2[[#This Row],[打新本金]],0)</f>
        <v>-3.6703716561685163E-4</v>
      </c>
      <c r="M91" s="32">
        <v>1</v>
      </c>
      <c r="N91" s="2">
        <v>10</v>
      </c>
      <c r="O91" s="2">
        <f>Table2[[#This Row],[张恺霖
投资本金]]*Table2[[#This Row],[单次收益率]]*Table2[[#This Row],[结算系数]]</f>
        <v>-3.6703716561685162E-3</v>
      </c>
      <c r="P91" s="2">
        <f>Table2[[#This Row],[张恺霖
投资本金]]+Table2[[#This Row],[张恺霖
投资收益]]</f>
        <v>9.9963296283438314</v>
      </c>
      <c r="Q91" s="2">
        <v>45</v>
      </c>
      <c r="R91" s="2">
        <f>Table2[[#This Row],[张忻霖
投资本金]]*Table2[[#This Row],[单次收益率]]*Table2[[#This Row],[结算系数]]</f>
        <v>-1.6516672452758323E-2</v>
      </c>
      <c r="S91" s="2">
        <f>Table2[[#This Row],[张忻霖
投资本金]]+Table2[[#This Row],[张忻霖
投资收益]]</f>
        <v>44.983483327547241</v>
      </c>
      <c r="T91" cm="1">
        <f t="array" ref="T91">_xlfn.SWITCH(Table2[[#This Row],[市场]],"HK",1,"US",7.77,"SG",6,1)</f>
        <v>1</v>
      </c>
      <c r="U91" s="3">
        <f>Table2[[#This Row],[汇率]]*Table2[[#This Row],[打新本金]]</f>
        <v>560597.18000000005</v>
      </c>
      <c r="V91" s="3">
        <f>Table2[[#This Row],[费用合计]]*Table2[[#This Row],[汇率]]</f>
        <v>205.76</v>
      </c>
      <c r="W91" s="3">
        <f>Table2[[#This Row],[汇率]]*Table2[[#This Row],[收益额]]</f>
        <v>-205.76</v>
      </c>
    </row>
    <row r="92" spans="1:25" x14ac:dyDescent="0.4">
      <c r="A92" t="s">
        <v>124</v>
      </c>
      <c r="B92" t="s">
        <v>16</v>
      </c>
      <c r="C92" s="10">
        <v>168158.95</v>
      </c>
      <c r="D92">
        <v>80000</v>
      </c>
      <c r="E92" s="3">
        <v>175.78</v>
      </c>
      <c r="F92">
        <v>200</v>
      </c>
      <c r="G92" s="3">
        <v>20.81</v>
      </c>
      <c r="H92" s="3">
        <v>27.98</v>
      </c>
      <c r="I92" s="3">
        <v>23.34</v>
      </c>
      <c r="J92" s="3">
        <f>Table2[[#This Row],[打新费用]]+Table2[[#This Row],[交易费用]]</f>
        <v>199.12</v>
      </c>
      <c r="K92" s="3">
        <f>((Table2[[#This Row],[卖出价]]-Table2[[#This Row],[中签价]])*Table2[[#This Row],[中签数]]-Table2[[#This Row],[费用合计]])</f>
        <v>1234.8800000000006</v>
      </c>
      <c r="L92" s="5">
        <f>IFERROR(Table2[[#This Row],[收益额]]/Table2[[#This Row],[打新本金]],0)</f>
        <v>7.3435282510981451E-3</v>
      </c>
      <c r="M92" s="33">
        <v>10</v>
      </c>
      <c r="N92" s="2">
        <v>10</v>
      </c>
      <c r="O92" s="2">
        <f>Table2[[#This Row],[张恺霖
投资本金]]*Table2[[#This Row],[单次收益率]]*Table2[[#This Row],[结算系数]]</f>
        <v>0.73435282510981459</v>
      </c>
      <c r="P92" s="2">
        <f>Table2[[#This Row],[张恺霖
投资本金]]+Table2[[#This Row],[张恺霖
投资收益]]</f>
        <v>10.734352825109815</v>
      </c>
      <c r="Q92" s="2">
        <v>45</v>
      </c>
      <c r="R92" s="2">
        <f>Table2[[#This Row],[张忻霖
投资本金]]*Table2[[#This Row],[单次收益率]]*Table2[[#This Row],[结算系数]]</f>
        <v>3.3045877129941652</v>
      </c>
      <c r="S92" s="2">
        <f>Table2[[#This Row],[张忻霖
投资本金]]+Table2[[#This Row],[张忻霖
投资收益]]</f>
        <v>48.304587712994163</v>
      </c>
      <c r="T92" cm="1">
        <f t="array" ref="T92">_xlfn.SWITCH(Table2[[#This Row],[市场]],"HK",1,"US",7.77,"SG",6,1)</f>
        <v>1</v>
      </c>
      <c r="U92" s="3">
        <f>Table2[[#This Row],[汇率]]*Table2[[#This Row],[打新本金]]</f>
        <v>168158.95</v>
      </c>
      <c r="V92" s="3">
        <f>Table2[[#This Row],[费用合计]]*Table2[[#This Row],[汇率]]</f>
        <v>199.12</v>
      </c>
      <c r="W92" s="3">
        <f>Table2[[#This Row],[汇率]]*Table2[[#This Row],[收益额]]</f>
        <v>1234.8800000000006</v>
      </c>
      <c r="Y92" s="27">
        <v>46168</v>
      </c>
    </row>
    <row r="93" spans="1:25" x14ac:dyDescent="0.4">
      <c r="A93" t="s">
        <v>126</v>
      </c>
      <c r="B93" t="s">
        <v>16</v>
      </c>
      <c r="C93" s="10">
        <v>569687.93999999994</v>
      </c>
      <c r="D93">
        <v>300000</v>
      </c>
      <c r="E93" s="3">
        <v>202.59</v>
      </c>
      <c r="F93">
        <v>0</v>
      </c>
      <c r="G93" s="3"/>
      <c r="H93" s="3"/>
      <c r="I93" s="3"/>
      <c r="J93" s="3">
        <f>Table2[[#This Row],[打新费用]]+Table2[[#This Row],[交易费用]]</f>
        <v>202.59</v>
      </c>
      <c r="K93" s="3">
        <f>((Table2[[#This Row],[卖出价]]-Table2[[#This Row],[中签价]])*Table2[[#This Row],[中签数]]-Table2[[#This Row],[费用合计]])</f>
        <v>-202.59</v>
      </c>
      <c r="L93" s="5">
        <f>IFERROR(Table2[[#This Row],[收益额]]/Table2[[#This Row],[打新本金]],0)</f>
        <v>-3.5561574289250363E-4</v>
      </c>
      <c r="M93" s="32">
        <v>1</v>
      </c>
      <c r="N93" s="2"/>
      <c r="O93" s="2">
        <f>Table2[[#This Row],[张恺霖
投资本金]]*Table2[[#This Row],[单次收益率]]*Table2[[#This Row],[结算系数]]</f>
        <v>0</v>
      </c>
      <c r="P93" s="2">
        <f>Table2[[#This Row],[张恺霖
投资本金]]+Table2[[#This Row],[张恺霖
投资收益]]</f>
        <v>0</v>
      </c>
      <c r="Q93" s="2">
        <v>100</v>
      </c>
      <c r="R93" s="2">
        <f>Table2[[#This Row],[张忻霖
投资本金]]*Table2[[#This Row],[单次收益率]]*Table2[[#This Row],[结算系数]]</f>
        <v>-3.5561574289250365E-2</v>
      </c>
      <c r="S93" s="2">
        <f>Table2[[#This Row],[张忻霖
投资本金]]+Table2[[#This Row],[张忻霖
投资收益]]</f>
        <v>99.964438425710753</v>
      </c>
      <c r="T93" cm="1">
        <f t="array" ref="T93">_xlfn.SWITCH(Table2[[#This Row],[市场]],"HK",1,"US",7.77,"SG",6,1)</f>
        <v>1</v>
      </c>
      <c r="U93" s="3">
        <f>Table2[[#This Row],[汇率]]*Table2[[#This Row],[打新本金]]</f>
        <v>569687.93999999994</v>
      </c>
      <c r="V93" s="3">
        <f>Table2[[#This Row],[费用合计]]*Table2[[#This Row],[汇率]]</f>
        <v>202.59</v>
      </c>
      <c r="W93" s="3">
        <f>Table2[[#This Row],[汇率]]*Table2[[#This Row],[收益额]]</f>
        <v>-202.59</v>
      </c>
      <c r="Y93" s="27">
        <v>46174</v>
      </c>
    </row>
    <row r="94" spans="1:25" x14ac:dyDescent="0.4">
      <c r="A94" t="s">
        <v>127</v>
      </c>
      <c r="B94" t="s">
        <v>16</v>
      </c>
      <c r="C94" s="10">
        <v>690898.14</v>
      </c>
      <c r="D94">
        <v>400000</v>
      </c>
      <c r="E94" s="3">
        <v>551.39</v>
      </c>
      <c r="F94">
        <v>400</v>
      </c>
      <c r="G94" s="3">
        <v>14.6</v>
      </c>
      <c r="H94" s="3">
        <v>25.8</v>
      </c>
      <c r="I94" s="3">
        <v>30</v>
      </c>
      <c r="J94" s="3">
        <f>Table2[[#This Row],[打新费用]]+Table2[[#This Row],[交易费用]]</f>
        <v>581.39</v>
      </c>
      <c r="K94" s="3">
        <f>((Table2[[#This Row],[卖出价]]-Table2[[#This Row],[中签价]])*Table2[[#This Row],[中签数]]-Table2[[#This Row],[费用合计]])</f>
        <v>3898.61</v>
      </c>
      <c r="L94" s="5">
        <f>IFERROR(Table2[[#This Row],[收益额]]/Table2[[#This Row],[打新本金]],0)</f>
        <v>5.6428144386088518E-3</v>
      </c>
      <c r="M94" s="33">
        <v>10</v>
      </c>
      <c r="N94" s="2">
        <v>100</v>
      </c>
      <c r="O94" s="2">
        <f>Table2[[#This Row],[张恺霖
投资本金]]*Table2[[#This Row],[单次收益率]]*Table2[[#This Row],[结算系数]]</f>
        <v>5.6428144386088519</v>
      </c>
      <c r="P94" s="2">
        <f>Table2[[#This Row],[张恺霖
投资本金]]+Table2[[#This Row],[张恺霖
投资收益]]</f>
        <v>105.64281443860885</v>
      </c>
      <c r="Q94" s="2">
        <v>99.96</v>
      </c>
      <c r="R94" s="2">
        <f>Table2[[#This Row],[张忻霖
投资本金]]*Table2[[#This Row],[单次收益率]]*Table2[[#This Row],[结算系数]]</f>
        <v>5.6405573128334074</v>
      </c>
      <c r="S94" s="2">
        <f>Table2[[#This Row],[张忻霖
投资本金]]+Table2[[#This Row],[张忻霖
投资收益]]</f>
        <v>105.6005573128334</v>
      </c>
      <c r="T94" cm="1">
        <f t="array" ref="T94">_xlfn.SWITCH(Table2[[#This Row],[市场]],"HK",1,"US",7.77,"SG",6,1)</f>
        <v>1</v>
      </c>
      <c r="U94" s="3">
        <f>Table2[[#This Row],[汇率]]*Table2[[#This Row],[打新本金]]</f>
        <v>690898.14</v>
      </c>
      <c r="V94" s="3">
        <f>Table2[[#This Row],[费用合计]]*Table2[[#This Row],[汇率]]</f>
        <v>581.39</v>
      </c>
      <c r="W94" s="3">
        <f>Table2[[#This Row],[汇率]]*Table2[[#This Row],[收益额]]</f>
        <v>3898.61</v>
      </c>
      <c r="Y94" s="27">
        <v>46175</v>
      </c>
    </row>
    <row r="95" spans="1:25" x14ac:dyDescent="0.4">
      <c r="A95" t="s">
        <v>128</v>
      </c>
      <c r="B95" t="s">
        <v>16</v>
      </c>
      <c r="C95" s="10">
        <v>741806.42</v>
      </c>
      <c r="D95">
        <v>400000</v>
      </c>
      <c r="E95" s="3">
        <v>568.28</v>
      </c>
      <c r="F95">
        <v>200</v>
      </c>
      <c r="G95" s="3">
        <v>18.36</v>
      </c>
      <c r="H95" s="3">
        <v>28</v>
      </c>
      <c r="I95" s="3">
        <v>23.34</v>
      </c>
      <c r="J95" s="3">
        <f>Table2[[#This Row],[打新费用]]+Table2[[#This Row],[交易费用]]</f>
        <v>591.62</v>
      </c>
      <c r="K95" s="3">
        <f>((Table2[[#This Row],[卖出价]]-Table2[[#This Row],[中签价]])*Table2[[#This Row],[中签数]]-Table2[[#This Row],[费用合计]])</f>
        <v>1336.38</v>
      </c>
      <c r="L95" s="5">
        <f>IFERROR(Table2[[#This Row],[收益额]]/Table2[[#This Row],[打新本金]],0)</f>
        <v>1.8015212108841011E-3</v>
      </c>
      <c r="M95" s="33">
        <v>10</v>
      </c>
      <c r="N95" s="2">
        <v>105.64</v>
      </c>
      <c r="O95" s="2">
        <f>Table2[[#This Row],[张恺霖
投资本金]]*Table2[[#This Row],[单次收益率]]*Table2[[#This Row],[结算系数]]</f>
        <v>1.9031270071779645</v>
      </c>
      <c r="P95" s="2">
        <f>Table2[[#This Row],[张恺霖
投资本金]]+Table2[[#This Row],[张恺霖
投资收益]]</f>
        <v>107.54312700717796</v>
      </c>
      <c r="Q95" s="2">
        <v>105.6</v>
      </c>
      <c r="R95" s="2">
        <f>Table2[[#This Row],[张忻霖
投资本金]]*Table2[[#This Row],[单次收益率]]*Table2[[#This Row],[结算系数]]</f>
        <v>1.9024063986936106</v>
      </c>
      <c r="S95" s="2">
        <f>Table2[[#This Row],[张忻霖
投资本金]]+Table2[[#This Row],[张忻霖
投资收益]]</f>
        <v>107.50240639869361</v>
      </c>
      <c r="T95" cm="1">
        <f t="array" ref="T95">_xlfn.SWITCH(Table2[[#This Row],[市场]],"HK",1,"US",7.77,"SG",6,1)</f>
        <v>1</v>
      </c>
      <c r="U95" s="3">
        <f>Table2[[#This Row],[汇率]]*Table2[[#This Row],[打新本金]]</f>
        <v>741806.42</v>
      </c>
      <c r="V95" s="3">
        <f>Table2[[#This Row],[费用合计]]*Table2[[#This Row],[汇率]]</f>
        <v>591.62</v>
      </c>
      <c r="W95" s="3">
        <f>Table2[[#This Row],[汇率]]*Table2[[#This Row],[收益额]]</f>
        <v>1336.38</v>
      </c>
      <c r="Y95" s="27">
        <v>46189</v>
      </c>
    </row>
    <row r="96" spans="1:25" s="23" customFormat="1" x14ac:dyDescent="0.4">
      <c r="A96" t="s">
        <v>129</v>
      </c>
      <c r="B96" t="s">
        <v>16</v>
      </c>
      <c r="C96" s="10">
        <v>727261.2</v>
      </c>
      <c r="D96">
        <v>1000000</v>
      </c>
      <c r="E96" s="3">
        <v>235.59</v>
      </c>
      <c r="F96">
        <v>0</v>
      </c>
      <c r="G96" s="3"/>
      <c r="H96" s="3"/>
      <c r="I96" s="3"/>
      <c r="J96" s="3">
        <f>Table2[[#This Row],[打新费用]]+Table2[[#This Row],[交易费用]]</f>
        <v>235.59</v>
      </c>
      <c r="K96" s="3">
        <f>((Table2[[#This Row],[卖出价]]-Table2[[#This Row],[中签价]])*Table2[[#This Row],[中签数]]-Table2[[#This Row],[费用合计]])</f>
        <v>-235.59</v>
      </c>
      <c r="L96" s="5">
        <f>IFERROR(Table2[[#This Row],[收益额]]/Table2[[#This Row],[打新本金]],0)</f>
        <v>-3.2394138447094391E-4</v>
      </c>
      <c r="M96" s="32">
        <v>1</v>
      </c>
      <c r="N96" s="2">
        <v>107.54</v>
      </c>
      <c r="O96" s="2">
        <f>Table2[[#This Row],[张恺霖
投资本金]]*Table2[[#This Row],[单次收益率]]*Table2[[#This Row],[结算系数]]</f>
        <v>-3.4836656486005313E-2</v>
      </c>
      <c r="P96" s="2">
        <f>Table2[[#This Row],[张恺霖
投资本金]]+Table2[[#This Row],[张恺霖
投资收益]]</f>
        <v>107.505163343514</v>
      </c>
      <c r="Q96" s="2">
        <v>107.5</v>
      </c>
      <c r="R96" s="2">
        <f>Table2[[#This Row],[张忻霖
投资本金]]*Table2[[#This Row],[单次收益率]]*Table2[[#This Row],[结算系数]]</f>
        <v>-3.4823698830626471E-2</v>
      </c>
      <c r="S96" s="2">
        <f>Table2[[#This Row],[张忻霖
投资本金]]+Table2[[#This Row],[张忻霖
投资收益]]</f>
        <v>107.46517630116938</v>
      </c>
      <c r="T96" cm="1">
        <f t="array" ref="T96">_xlfn.SWITCH(Table2[[#This Row],[市场]],"HK",1,"US",7.77,"SG",6,1)</f>
        <v>1</v>
      </c>
      <c r="U96" s="3">
        <f>Table2[[#This Row],[汇率]]*Table2[[#This Row],[打新本金]]</f>
        <v>727261.2</v>
      </c>
      <c r="V96" s="3">
        <f>Table2[[#This Row],[费用合计]]*Table2[[#This Row],[汇率]]</f>
        <v>235.59</v>
      </c>
      <c r="W96" s="3">
        <f>Table2[[#This Row],[汇率]]*Table2[[#This Row],[收益额]]</f>
        <v>-235.59</v>
      </c>
    </row>
    <row r="97" spans="1:25" x14ac:dyDescent="0.4">
      <c r="A97" t="s">
        <v>132</v>
      </c>
      <c r="B97" t="s">
        <v>16</v>
      </c>
      <c r="C97" s="10">
        <v>410498.54</v>
      </c>
      <c r="D97">
        <v>40000</v>
      </c>
      <c r="E97" s="3">
        <v>416.12</v>
      </c>
      <c r="F97">
        <v>0</v>
      </c>
      <c r="G97" s="3"/>
      <c r="H97" s="3"/>
      <c r="I97" s="3"/>
      <c r="J97" s="3">
        <f>Table2[[#This Row],[打新费用]]+Table2[[#This Row],[交易费用]]</f>
        <v>416.12</v>
      </c>
      <c r="K97" s="3">
        <f>((Table2[[#This Row],[卖出价]]-Table2[[#This Row],[中签价]])*Table2[[#This Row],[中签数]]-Table2[[#This Row],[费用合计]])</f>
        <v>-416.12</v>
      </c>
      <c r="L97" s="5">
        <f>IFERROR(Table2[[#This Row],[收益额]]/Table2[[#This Row],[打新本金]],0)</f>
        <v>-1.0136942265373222E-3</v>
      </c>
      <c r="M97" s="32">
        <v>1</v>
      </c>
      <c r="N97" s="2">
        <v>107.51</v>
      </c>
      <c r="O97" s="2">
        <f>Table2[[#This Row],[张恺霖
投资本金]]*Table2[[#This Row],[单次收益率]]*Table2[[#This Row],[结算系数]]</f>
        <v>-0.10898226629502751</v>
      </c>
      <c r="P97" s="2">
        <f>Table2[[#This Row],[张恺霖
投资本金]]+Table2[[#This Row],[张恺霖
投资收益]]</f>
        <v>107.40101773370498</v>
      </c>
      <c r="Q97" s="2">
        <v>107.47</v>
      </c>
      <c r="R97" s="2">
        <f>Table2[[#This Row],[张忻霖
投资本金]]*Table2[[#This Row],[单次收益率]]*Table2[[#This Row],[结算系数]]</f>
        <v>-0.10894171852596601</v>
      </c>
      <c r="S97" s="2">
        <f>Table2[[#This Row],[张忻霖
投资本金]]+Table2[[#This Row],[张忻霖
投资收益]]</f>
        <v>107.36105828147403</v>
      </c>
      <c r="T97" cm="1">
        <f t="array" ref="T97">_xlfn.SWITCH(Table2[[#This Row],[市场]],"HK",1,"US",7.77,"SG",6,1)</f>
        <v>1</v>
      </c>
      <c r="U97" s="3">
        <f>Table2[[#This Row],[汇率]]*Table2[[#This Row],[打新本金]]</f>
        <v>410498.54</v>
      </c>
      <c r="V97" s="3">
        <f>Table2[[#This Row],[费用合计]]*Table2[[#This Row],[汇率]]</f>
        <v>416.12</v>
      </c>
      <c r="W97" s="3">
        <f>Table2[[#This Row],[汇率]]*Table2[[#This Row],[收益额]]</f>
        <v>-416.12</v>
      </c>
    </row>
    <row r="98" spans="1:25" x14ac:dyDescent="0.4">
      <c r="A98" t="s">
        <v>130</v>
      </c>
      <c r="B98" t="s">
        <v>16</v>
      </c>
      <c r="C98" s="10">
        <v>429185.12</v>
      </c>
      <c r="D98">
        <v>70000</v>
      </c>
      <c r="E98" s="3">
        <v>310.12</v>
      </c>
      <c r="F98">
        <v>200</v>
      </c>
      <c r="G98" s="3">
        <v>60.7</v>
      </c>
      <c r="H98" s="3">
        <v>118.2</v>
      </c>
      <c r="I98" s="3">
        <v>48.87</v>
      </c>
      <c r="J98" s="3">
        <f>Table2[[#This Row],[打新费用]]+Table2[[#This Row],[交易费用]]</f>
        <v>358.99</v>
      </c>
      <c r="K98" s="3">
        <f>((Table2[[#This Row],[卖出价]]-Table2[[#This Row],[中签价]])*Table2[[#This Row],[中签数]]-Table2[[#This Row],[费用合计]])</f>
        <v>11141.01</v>
      </c>
      <c r="L98" s="5">
        <f>IFERROR(Table2[[#This Row],[收益额]]/Table2[[#This Row],[打新本金]],0)</f>
        <v>2.5958518785553424E-2</v>
      </c>
      <c r="M98" s="33">
        <v>10</v>
      </c>
      <c r="N98" s="2">
        <v>26.85</v>
      </c>
      <c r="O98" s="2">
        <f>Table2[[#This Row],[张恺霖
投资本金]]*Table2[[#This Row],[单次收益率]]*Table2[[#This Row],[结算系数]]</f>
        <v>6.9698622939210955</v>
      </c>
      <c r="P98" s="2">
        <f>Table2[[#This Row],[张恺霖
投资本金]]+Table2[[#This Row],[张恺霖
投资收益]]</f>
        <v>33.819862293921098</v>
      </c>
      <c r="Q98" s="2">
        <v>26.84</v>
      </c>
      <c r="R98" s="2">
        <f>Table2[[#This Row],[张忻霖
投资本金]]*Table2[[#This Row],[单次收益率]]*Table2[[#This Row],[结算系数]]</f>
        <v>6.967266442042539</v>
      </c>
      <c r="S98" s="2">
        <f>Table2[[#This Row],[张忻霖
投资本金]]+Table2[[#This Row],[张忻霖
投资收益]]</f>
        <v>33.80726644204254</v>
      </c>
      <c r="T98" cm="1">
        <f t="array" ref="T98">_xlfn.SWITCH(Table2[[#This Row],[市场]],"HK",1,"US",7.77,"SG",6,1)</f>
        <v>1</v>
      </c>
      <c r="U98" s="3">
        <f>Table2[[#This Row],[汇率]]*Table2[[#This Row],[打新本金]]</f>
        <v>429185.12</v>
      </c>
      <c r="V98" s="3">
        <f>Table2[[#This Row],[费用合计]]*Table2[[#This Row],[汇率]]</f>
        <v>358.99</v>
      </c>
      <c r="W98" s="3">
        <f>Table2[[#This Row],[汇率]]*Table2[[#This Row],[收益额]]</f>
        <v>11141.01</v>
      </c>
      <c r="Y98" s="27">
        <v>46198</v>
      </c>
    </row>
    <row r="99" spans="1:25" x14ac:dyDescent="0.4">
      <c r="A99" t="s">
        <v>131</v>
      </c>
      <c r="B99" t="s">
        <v>16</v>
      </c>
      <c r="C99" s="10">
        <v>255278.78</v>
      </c>
      <c r="D99">
        <v>10000</v>
      </c>
      <c r="E99" s="3">
        <v>149.15</v>
      </c>
      <c r="F99">
        <v>0</v>
      </c>
      <c r="G99" s="3"/>
      <c r="H99" s="3"/>
      <c r="I99" s="3"/>
      <c r="J99" s="3">
        <f>Table2[[#This Row],[打新费用]]+Table2[[#This Row],[交易费用]]</f>
        <v>149.15</v>
      </c>
      <c r="K99" s="3">
        <f>((Table2[[#This Row],[卖出价]]-Table2[[#This Row],[中签价]])*Table2[[#This Row],[中签数]]-Table2[[#This Row],[费用合计]])</f>
        <v>-149.15</v>
      </c>
      <c r="L99" s="5">
        <f>IFERROR(Table2[[#This Row],[收益额]]/Table2[[#This Row],[打新本金]],0)</f>
        <v>-5.8426321216358055E-4</v>
      </c>
      <c r="M99" s="32">
        <v>1</v>
      </c>
      <c r="N99" s="2">
        <v>26.85</v>
      </c>
      <c r="O99" s="2">
        <f>Table2[[#This Row],[张恺霖
投资本金]]*Table2[[#This Row],[单次收益率]]*Table2[[#This Row],[结算系数]]</f>
        <v>-1.5687467246592139E-2</v>
      </c>
      <c r="P99" s="2">
        <f>Table2[[#This Row],[张恺霖
投资本金]]+Table2[[#This Row],[张恺霖
投资收益]]</f>
        <v>26.834312532753408</v>
      </c>
      <c r="Q99" s="2">
        <v>26.84</v>
      </c>
      <c r="R99" s="2">
        <f>Table2[[#This Row],[张忻霖
投资本金]]*Table2[[#This Row],[单次收益率]]*Table2[[#This Row],[结算系数]]</f>
        <v>-1.56816246144705E-2</v>
      </c>
      <c r="S99" s="2">
        <f>Table2[[#This Row],[张忻霖
投资本金]]+Table2[[#This Row],[张忻霖
投资收益]]</f>
        <v>26.824318375385531</v>
      </c>
      <c r="T99" cm="1">
        <f t="array" ref="T99">_xlfn.SWITCH(Table2[[#This Row],[市场]],"HK",1,"US",7.77,"SG",6,1)</f>
        <v>1</v>
      </c>
      <c r="U99" s="3">
        <f>Table2[[#This Row],[汇率]]*Table2[[#This Row],[打新本金]]</f>
        <v>255278.78</v>
      </c>
      <c r="V99" s="3">
        <f>Table2[[#This Row],[费用合计]]*Table2[[#This Row],[汇率]]</f>
        <v>149.15</v>
      </c>
      <c r="W99" s="3">
        <f>Table2[[#This Row],[汇率]]*Table2[[#This Row],[收益额]]</f>
        <v>-149.15</v>
      </c>
    </row>
    <row r="100" spans="1:25" x14ac:dyDescent="0.4">
      <c r="A100" t="s">
        <v>133</v>
      </c>
      <c r="B100" t="s">
        <v>16</v>
      </c>
      <c r="C100" s="10">
        <v>59923.29</v>
      </c>
      <c r="D100">
        <v>15000</v>
      </c>
      <c r="E100" s="3">
        <v>112.26</v>
      </c>
      <c r="F100">
        <v>0</v>
      </c>
      <c r="G100" s="3"/>
      <c r="H100" s="3"/>
      <c r="I100" s="3"/>
      <c r="J100" s="3">
        <f>Table2[[#This Row],[打新费用]]+Table2[[#This Row],[交易费用]]</f>
        <v>112.26</v>
      </c>
      <c r="K100" s="3">
        <f>((Table2[[#This Row],[卖出价]]-Table2[[#This Row],[中签价]])*Table2[[#This Row],[中签数]]-Table2[[#This Row],[费用合计]])</f>
        <v>-112.26</v>
      </c>
      <c r="L100" s="5">
        <f>IFERROR(Table2[[#This Row],[收益额]]/Table2[[#This Row],[打新本金]],0)</f>
        <v>-1.8733951356809681E-3</v>
      </c>
      <c r="M100" s="32">
        <v>1</v>
      </c>
      <c r="N100" s="2">
        <v>26.85</v>
      </c>
      <c r="O100" s="2">
        <f>Table2[[#This Row],[张恺霖
投资本金]]*Table2[[#This Row],[单次收益率]]*Table2[[#This Row],[结算系数]]</f>
        <v>-5.0300659393033999E-2</v>
      </c>
      <c r="P100" s="2">
        <f>Table2[[#This Row],[张恺霖
投资本金]]+Table2[[#This Row],[张恺霖
投资收益]]</f>
        <v>26.799699340606967</v>
      </c>
      <c r="Q100" s="2">
        <v>26.84</v>
      </c>
      <c r="R100" s="2">
        <f>Table2[[#This Row],[张忻霖
投资本金]]*Table2[[#This Row],[单次收益率]]*Table2[[#This Row],[结算系数]]</f>
        <v>-5.0281925441677186E-2</v>
      </c>
      <c r="S100" s="2">
        <f>Table2[[#This Row],[张忻霖
投资本金]]+Table2[[#This Row],[张忻霖
投资收益]]</f>
        <v>26.789718074558323</v>
      </c>
      <c r="T100" cm="1">
        <f t="array" ref="T100">_xlfn.SWITCH(Table2[[#This Row],[市场]],"HK",1,"US",7.77,"SG",6,1)</f>
        <v>1</v>
      </c>
      <c r="U100" s="3">
        <f>Table2[[#This Row],[汇率]]*Table2[[#This Row],[打新本金]]</f>
        <v>59923.29</v>
      </c>
      <c r="V100" s="3">
        <f>Table2[[#This Row],[费用合计]]*Table2[[#This Row],[汇率]]</f>
        <v>112.26</v>
      </c>
      <c r="W100" s="3">
        <f>Table2[[#This Row],[汇率]]*Table2[[#This Row],[收益额]]</f>
        <v>-112.26</v>
      </c>
    </row>
    <row r="101" spans="1:25" x14ac:dyDescent="0.4">
      <c r="A101" t="s">
        <v>134</v>
      </c>
      <c r="B101" t="s">
        <v>16</v>
      </c>
      <c r="C101" s="10">
        <v>15979.54</v>
      </c>
      <c r="D101">
        <v>7000</v>
      </c>
      <c r="E101" s="3">
        <v>126.18</v>
      </c>
      <c r="F101">
        <v>100</v>
      </c>
      <c r="G101" s="3">
        <v>22.6</v>
      </c>
      <c r="H101" s="3">
        <v>39.799999999999997</v>
      </c>
      <c r="I101" s="3">
        <v>20.66</v>
      </c>
      <c r="J101" s="3">
        <f>Table2[[#This Row],[打新费用]]+Table2[[#This Row],[交易费用]]</f>
        <v>146.84</v>
      </c>
      <c r="K101" s="3">
        <f>((Table2[[#This Row],[卖出价]]-Table2[[#This Row],[中签价]])*Table2[[#This Row],[中签数]]-Table2[[#This Row],[费用合计]])</f>
        <v>1573.1599999999996</v>
      </c>
      <c r="L101" s="5">
        <f>IFERROR(Table2[[#This Row],[收益额]]/Table2[[#This Row],[打新本金]],0)</f>
        <v>9.8448390879837561E-2</v>
      </c>
      <c r="M101" s="33">
        <v>10</v>
      </c>
      <c r="N101" s="2">
        <v>26.85</v>
      </c>
      <c r="O101" s="2">
        <f>Table2[[#This Row],[张恺霖
投资本金]]*Table2[[#This Row],[单次收益率]]*Table2[[#This Row],[结算系数]]</f>
        <v>26.433392951236385</v>
      </c>
      <c r="P101" s="2">
        <f>Table2[[#This Row],[张恺霖
投资本金]]+Table2[[#This Row],[张恺霖
投资收益]]</f>
        <v>53.283392951236387</v>
      </c>
      <c r="Q101" s="2">
        <v>26.84</v>
      </c>
      <c r="R101" s="2">
        <f>Table2[[#This Row],[张忻霖
投资本金]]*Table2[[#This Row],[单次收益率]]*Table2[[#This Row],[结算系数]]</f>
        <v>26.423548112148403</v>
      </c>
      <c r="S101" s="2">
        <f>Table2[[#This Row],[张忻霖
投资本金]]+Table2[[#This Row],[张忻霖
投资收益]]</f>
        <v>53.263548112148399</v>
      </c>
      <c r="T101" cm="1">
        <f t="array" ref="T101">_xlfn.SWITCH(Table2[[#This Row],[市场]],"HK",1,"US",7.77,"SG",6,1)</f>
        <v>1</v>
      </c>
      <c r="U101" s="3">
        <f>Table2[[#This Row],[汇率]]*Table2[[#This Row],[打新本金]]</f>
        <v>15979.54</v>
      </c>
      <c r="V101" s="3">
        <f>Table2[[#This Row],[费用合计]]*Table2[[#This Row],[汇率]]</f>
        <v>146.84</v>
      </c>
      <c r="W101" s="3">
        <f>Table2[[#This Row],[汇率]]*Table2[[#This Row],[收益额]]</f>
        <v>1573.1599999999996</v>
      </c>
      <c r="Y101" s="27">
        <v>46199</v>
      </c>
    </row>
    <row r="102" spans="1:25" x14ac:dyDescent="0.4">
      <c r="A102" s="34" t="s">
        <v>135</v>
      </c>
      <c r="B102" t="s">
        <v>16</v>
      </c>
      <c r="C102" s="10">
        <v>533829.92000000004</v>
      </c>
      <c r="D102">
        <v>70000</v>
      </c>
      <c r="E102" s="3">
        <v>282.57</v>
      </c>
      <c r="F102">
        <v>100</v>
      </c>
      <c r="G102" s="3">
        <v>75.5</v>
      </c>
      <c r="H102" s="3">
        <v>108</v>
      </c>
      <c r="I102" s="3">
        <v>30.5</v>
      </c>
      <c r="J102" s="3">
        <f>Table2[[#This Row],[打新费用]]+Table2[[#This Row],[交易费用]]</f>
        <v>313.07</v>
      </c>
      <c r="K102" s="3">
        <f>((Table2[[#This Row],[卖出价]]-Table2[[#This Row],[中签价]])*Table2[[#This Row],[中签数]]-Table2[[#This Row],[费用合计]])</f>
        <v>2936.93</v>
      </c>
      <c r="L102" s="5">
        <f>IFERROR(Table2[[#This Row],[收益额]]/Table2[[#This Row],[打新本金]],0)</f>
        <v>5.5016211905095161E-3</v>
      </c>
      <c r="M102" s="33">
        <v>10</v>
      </c>
      <c r="N102" s="2">
        <v>46.91</v>
      </c>
      <c r="O102" s="2">
        <f>Table2[[#This Row],[张恺霖
投资本金]]*Table2[[#This Row],[单次收益率]]*Table2[[#This Row],[结算系数]]</f>
        <v>2.5808105004680137</v>
      </c>
      <c r="P102" s="2">
        <f>Table2[[#This Row],[张恺霖
投资本金]]+Table2[[#This Row],[张恺霖
投资收益]]</f>
        <v>49.490810500468008</v>
      </c>
      <c r="Q102" s="2">
        <v>46.89</v>
      </c>
      <c r="R102" s="2">
        <f>Table2[[#This Row],[张忻霖
投资本金]]*Table2[[#This Row],[单次收益率]]*Table2[[#This Row],[结算系数]]</f>
        <v>2.5797101762299124</v>
      </c>
      <c r="S102" s="2">
        <f>Table2[[#This Row],[张忻霖
投资本金]]+Table2[[#This Row],[张忻霖
投资收益]]</f>
        <v>49.46971017622991</v>
      </c>
      <c r="T102" cm="1">
        <f t="array" ref="T102">_xlfn.SWITCH(Table2[[#This Row],[市场]],"HK",1,"US",7.77,"SG",6,1)</f>
        <v>1</v>
      </c>
      <c r="U102" s="3">
        <f>Table2[[#This Row],[汇率]]*Table2[[#This Row],[打新本金]]</f>
        <v>533829.92000000004</v>
      </c>
      <c r="V102" s="3">
        <f>Table2[[#This Row],[费用合计]]*Table2[[#This Row],[汇率]]</f>
        <v>313.07</v>
      </c>
      <c r="W102" s="3">
        <f>Table2[[#This Row],[汇率]]*Table2[[#This Row],[收益额]]</f>
        <v>2936.93</v>
      </c>
      <c r="Y102" s="27">
        <v>46202</v>
      </c>
    </row>
    <row r="103" spans="1:25" x14ac:dyDescent="0.4">
      <c r="A103" s="34" t="s">
        <v>136</v>
      </c>
      <c r="B103" t="s">
        <v>16</v>
      </c>
      <c r="C103" s="10">
        <v>172724.54</v>
      </c>
      <c r="D103">
        <v>20000</v>
      </c>
      <c r="E103" s="3">
        <v>134.44</v>
      </c>
      <c r="F103">
        <v>0</v>
      </c>
      <c r="G103" s="3"/>
      <c r="H103" s="3"/>
      <c r="I103" s="3"/>
      <c r="J103" s="3">
        <f>Table2[[#This Row],[打新费用]]+Table2[[#This Row],[交易费用]]</f>
        <v>134.44</v>
      </c>
      <c r="K103" s="3">
        <f>((Table2[[#This Row],[卖出价]]-Table2[[#This Row],[中签价]])*Table2[[#This Row],[中签数]]-Table2[[#This Row],[费用合计]])</f>
        <v>-134.44</v>
      </c>
      <c r="L103" s="5">
        <f>IFERROR(Table2[[#This Row],[收益额]]/Table2[[#This Row],[打新本金]],0)</f>
        <v>-7.7834915640823241E-4</v>
      </c>
      <c r="M103" s="32">
        <v>1</v>
      </c>
      <c r="N103" s="2">
        <v>46.91</v>
      </c>
      <c r="O103" s="2">
        <f>Table2[[#This Row],[张恺霖
投资本金]]*Table2[[#This Row],[单次收益率]]*Table2[[#This Row],[结算系数]]</f>
        <v>-3.6512358927110182E-2</v>
      </c>
      <c r="P103" s="2">
        <f>Table2[[#This Row],[张恺霖
投资本金]]+Table2[[#This Row],[张恺霖
投资收益]]</f>
        <v>46.873487641072884</v>
      </c>
      <c r="Q103" s="2">
        <v>46.89</v>
      </c>
      <c r="R103" s="2">
        <f>Table2[[#This Row],[张忻霖
投资本金]]*Table2[[#This Row],[单次收益率]]*Table2[[#This Row],[结算系数]]</f>
        <v>-3.6496791943982018E-2</v>
      </c>
      <c r="S103" s="2">
        <f>Table2[[#This Row],[张忻霖
投资本金]]+Table2[[#This Row],[张忻霖
投资收益]]</f>
        <v>46.853503208056019</v>
      </c>
      <c r="T103" cm="1">
        <f t="array" ref="T103">_xlfn.SWITCH(Table2[[#This Row],[市场]],"HK",1,"US",7.77,"SG",6,1)</f>
        <v>1</v>
      </c>
      <c r="U103" s="3">
        <f>Table2[[#This Row],[汇率]]*Table2[[#This Row],[打新本金]]</f>
        <v>172724.54</v>
      </c>
      <c r="V103" s="3">
        <f>Table2[[#This Row],[费用合计]]*Table2[[#This Row],[汇率]]</f>
        <v>134.44</v>
      </c>
      <c r="W103" s="3">
        <f>Table2[[#This Row],[汇率]]*Table2[[#This Row],[收益额]]</f>
        <v>-134.44</v>
      </c>
      <c r="Y103" s="27">
        <v>46202</v>
      </c>
    </row>
    <row r="104" spans="1:25" x14ac:dyDescent="0.4">
      <c r="A104" s="34" t="s">
        <v>137</v>
      </c>
      <c r="B104" t="s">
        <v>16</v>
      </c>
      <c r="C104" s="10">
        <v>26383.42</v>
      </c>
      <c r="D104">
        <v>20000</v>
      </c>
      <c r="E104" s="3">
        <v>105.26</v>
      </c>
      <c r="F104">
        <v>0</v>
      </c>
      <c r="G104" s="3"/>
      <c r="H104" s="3"/>
      <c r="I104" s="3"/>
      <c r="J104" s="3">
        <f>Table2[[#This Row],[打新费用]]+Table2[[#This Row],[交易费用]]</f>
        <v>105.26</v>
      </c>
      <c r="K104" s="3">
        <f>((Table2[[#This Row],[卖出价]]-Table2[[#This Row],[中签价]])*Table2[[#This Row],[中签数]]-Table2[[#This Row],[费用合计]])</f>
        <v>-105.26</v>
      </c>
      <c r="L104" s="5">
        <f>IFERROR(Table2[[#This Row],[收益额]]/Table2[[#This Row],[打新本金]],0)</f>
        <v>-3.9896268186611142E-3</v>
      </c>
      <c r="M104" s="32">
        <v>1</v>
      </c>
      <c r="N104" s="2">
        <v>46.91</v>
      </c>
      <c r="O104" s="2">
        <f>Table2[[#This Row],[张恺霖
投资本金]]*Table2[[#This Row],[单次收益率]]*Table2[[#This Row],[结算系数]]</f>
        <v>-0.18715339406339285</v>
      </c>
      <c r="P104" s="2">
        <f>Table2[[#This Row],[张恺霖
投资本金]]+Table2[[#This Row],[张恺霖
投资收益]]</f>
        <v>46.722846605936603</v>
      </c>
      <c r="Q104" s="2">
        <v>46.89</v>
      </c>
      <c r="R104" s="2">
        <f>Table2[[#This Row],[张忻霖
投资本金]]*Table2[[#This Row],[单次收益率]]*Table2[[#This Row],[结算系数]]</f>
        <v>-0.18707360152701966</v>
      </c>
      <c r="S104" s="2">
        <f>Table2[[#This Row],[张忻霖
投资本金]]+Table2[[#This Row],[张忻霖
投资收益]]</f>
        <v>46.702926398472982</v>
      </c>
      <c r="T104" cm="1">
        <f t="array" ref="T104">_xlfn.SWITCH(Table2[[#This Row],[市场]],"HK",1,"US",7.77,"SG",6,1)</f>
        <v>1</v>
      </c>
      <c r="U104" s="3">
        <f>Table2[[#This Row],[汇率]]*Table2[[#This Row],[打新本金]]</f>
        <v>26383.42</v>
      </c>
      <c r="V104" s="3">
        <f>Table2[[#This Row],[费用合计]]*Table2[[#This Row],[汇率]]</f>
        <v>105.26</v>
      </c>
      <c r="W104" s="3">
        <f>Table2[[#This Row],[汇率]]*Table2[[#This Row],[收益额]]</f>
        <v>-105.26</v>
      </c>
      <c r="Y104" s="27">
        <v>46202</v>
      </c>
    </row>
    <row r="105" spans="1:25" x14ac:dyDescent="0.4">
      <c r="A105" s="34" t="s">
        <v>141</v>
      </c>
      <c r="B105" t="s">
        <v>16</v>
      </c>
      <c r="C105" s="10">
        <v>125452.56</v>
      </c>
      <c r="D105">
        <v>200000</v>
      </c>
      <c r="E105" s="3">
        <v>145.68</v>
      </c>
      <c r="F105">
        <v>500</v>
      </c>
      <c r="G105" s="3">
        <v>5.5</v>
      </c>
      <c r="H105" s="3">
        <v>4.88</v>
      </c>
      <c r="I105" s="3">
        <v>19.02</v>
      </c>
      <c r="J105" s="3">
        <f>Table2[[#This Row],[打新费用]]+Table2[[#This Row],[交易费用]]</f>
        <v>164.70000000000002</v>
      </c>
      <c r="K105" s="3">
        <f>((Table2[[#This Row],[卖出价]]-Table2[[#This Row],[中签价]])*Table2[[#This Row],[中签数]]-Table2[[#This Row],[费用合计]])</f>
        <v>-474.70000000000005</v>
      </c>
      <c r="L105" s="5">
        <f>IFERROR(Table2[[#This Row],[收益额]]/Table2[[#This Row],[打新本金]],0)</f>
        <v>-3.7839004640479244E-3</v>
      </c>
      <c r="M105" s="32">
        <v>1</v>
      </c>
      <c r="N105" s="2">
        <v>35.770000000000003</v>
      </c>
      <c r="O105" s="2">
        <f>Table2[[#This Row],[张恺霖
投资本金]]*Table2[[#This Row],[单次收益率]]*Table2[[#This Row],[结算系数]]</f>
        <v>-0.13535011959899426</v>
      </c>
      <c r="P105" s="2">
        <f>Table2[[#This Row],[张恺霖
投资本金]]+Table2[[#This Row],[张恺霖
投资收益]]</f>
        <v>35.634649880401007</v>
      </c>
      <c r="Q105" s="2">
        <v>35.7575</v>
      </c>
      <c r="R105" s="2">
        <f>Table2[[#This Row],[张忻霖
投资本金]]*Table2[[#This Row],[单次收益率]]*Table2[[#This Row],[结算系数]]</f>
        <v>-0.13530282084319367</v>
      </c>
      <c r="S105" s="2">
        <f>Table2[[#This Row],[张忻霖
投资本金]]+Table2[[#This Row],[张忻霖
投资收益]]</f>
        <v>35.622197179156807</v>
      </c>
      <c r="T105" cm="1">
        <f t="array" ref="T105">_xlfn.SWITCH(Table2[[#This Row],[市场]],"HK",1,"US",7.77,"SG",6,1)</f>
        <v>1</v>
      </c>
      <c r="U105" s="3">
        <f>Table2[[#This Row],[汇率]]*Table2[[#This Row],[打新本金]]</f>
        <v>125452.56</v>
      </c>
      <c r="V105" s="3">
        <f>Table2[[#This Row],[费用合计]]*Table2[[#This Row],[汇率]]</f>
        <v>164.70000000000002</v>
      </c>
      <c r="W105" s="3">
        <f>Table2[[#This Row],[汇率]]*Table2[[#This Row],[收益额]]</f>
        <v>-474.70000000000005</v>
      </c>
      <c r="Y105" s="27"/>
    </row>
    <row r="106" spans="1:25" x14ac:dyDescent="0.4">
      <c r="A106" s="34" t="s">
        <v>142</v>
      </c>
      <c r="B106" t="s">
        <v>16</v>
      </c>
      <c r="C106" s="10">
        <v>196905.97</v>
      </c>
      <c r="D106">
        <v>90000</v>
      </c>
      <c r="E106" s="3">
        <v>219.16</v>
      </c>
      <c r="F106">
        <v>0</v>
      </c>
      <c r="G106" s="3"/>
      <c r="H106" s="3"/>
      <c r="I106" s="3"/>
      <c r="J106" s="3">
        <f>Table2[[#This Row],[打新费用]]+Table2[[#This Row],[交易费用]]</f>
        <v>219.16</v>
      </c>
      <c r="K106" s="3">
        <f>((Table2[[#This Row],[卖出价]]-Table2[[#This Row],[中签价]])*Table2[[#This Row],[中签数]]-Table2[[#This Row],[费用合计]])</f>
        <v>-219.16</v>
      </c>
      <c r="L106" s="5">
        <f>IFERROR(Table2[[#This Row],[收益额]]/Table2[[#This Row],[打新本金]],0)</f>
        <v>-1.1130185641400308E-3</v>
      </c>
      <c r="M106" s="32">
        <v>1</v>
      </c>
      <c r="N106" s="2">
        <v>35.770000000000003</v>
      </c>
      <c r="O106" s="2">
        <f>Table2[[#This Row],[张恺霖
投资本金]]*Table2[[#This Row],[单次收益率]]*Table2[[#This Row],[结算系数]]</f>
        <v>-3.9812674039288905E-2</v>
      </c>
      <c r="P106" s="2">
        <f>Table2[[#This Row],[张恺霖
投资本金]]+Table2[[#This Row],[张恺霖
投资收益]]</f>
        <v>35.730187325960713</v>
      </c>
      <c r="Q106" s="2">
        <v>35.7575</v>
      </c>
      <c r="R106" s="2">
        <f>Table2[[#This Row],[张忻霖
投资本金]]*Table2[[#This Row],[单次收益率]]*Table2[[#This Row],[结算系数]]</f>
        <v>-3.9798761307237154E-2</v>
      </c>
      <c r="S106" s="2">
        <f>Table2[[#This Row],[张忻霖
投资本金]]+Table2[[#This Row],[张忻霖
投资收益]]</f>
        <v>35.717701238692761</v>
      </c>
      <c r="T106" cm="1">
        <f t="array" ref="T106">_xlfn.SWITCH(Table2[[#This Row],[市场]],"HK",1,"US",7.77,"SG",6,1)</f>
        <v>1</v>
      </c>
      <c r="U106" s="3">
        <f>Table2[[#This Row],[汇率]]*Table2[[#This Row],[打新本金]]</f>
        <v>196905.97</v>
      </c>
      <c r="V106" s="3">
        <f>Table2[[#This Row],[费用合计]]*Table2[[#This Row],[汇率]]</f>
        <v>219.16</v>
      </c>
      <c r="W106" s="3">
        <f>Table2[[#This Row],[汇率]]*Table2[[#This Row],[收益额]]</f>
        <v>-219.16</v>
      </c>
      <c r="Y106" s="27"/>
    </row>
    <row r="107" spans="1:25" x14ac:dyDescent="0.4">
      <c r="A107" s="34" t="s">
        <v>143</v>
      </c>
      <c r="B107" t="s">
        <v>16</v>
      </c>
      <c r="C107" s="10">
        <v>177613.35</v>
      </c>
      <c r="D107">
        <v>20000</v>
      </c>
      <c r="E107" s="3">
        <v>296.13</v>
      </c>
      <c r="F107">
        <v>100</v>
      </c>
      <c r="G107" s="3">
        <v>87.92</v>
      </c>
      <c r="H107" s="3">
        <v>75.924999999999997</v>
      </c>
      <c r="I107" s="3">
        <v>26.16</v>
      </c>
      <c r="J107" s="3">
        <f>Table2[[#This Row],[打新费用]]+Table2[[#This Row],[交易费用]]</f>
        <v>322.29000000000002</v>
      </c>
      <c r="K107" s="3">
        <f>((Table2[[#This Row],[卖出价]]-Table2[[#This Row],[中签价]])*Table2[[#This Row],[中签数]]-Table2[[#This Row],[费用合计]])</f>
        <v>-1521.7900000000004</v>
      </c>
      <c r="L107" s="5">
        <f>IFERROR(Table2[[#This Row],[收益额]]/Table2[[#This Row],[打新本金]],0)</f>
        <v>-8.5679933405906732E-3</v>
      </c>
      <c r="M107" s="32">
        <v>1</v>
      </c>
      <c r="N107" s="2">
        <v>35.770000000000003</v>
      </c>
      <c r="O107" s="2">
        <f>Table2[[#This Row],[张恺霖
投资本金]]*Table2[[#This Row],[单次收益率]]*Table2[[#This Row],[结算系数]]</f>
        <v>-0.30647712179292841</v>
      </c>
      <c r="P107" s="2">
        <f>Table2[[#This Row],[张恺霖
投资本金]]+Table2[[#This Row],[张恺霖
投资收益]]</f>
        <v>35.463522878207073</v>
      </c>
      <c r="Q107" s="2">
        <v>35.7575</v>
      </c>
      <c r="R107" s="2">
        <f>Table2[[#This Row],[张忻霖
投资本金]]*Table2[[#This Row],[单次收益率]]*Table2[[#This Row],[结算系数]]</f>
        <v>-0.30637002187617102</v>
      </c>
      <c r="S107" s="2">
        <f>Table2[[#This Row],[张忻霖
投资本金]]+Table2[[#This Row],[张忻霖
投资收益]]</f>
        <v>35.451129978123831</v>
      </c>
      <c r="T107" cm="1">
        <f t="array" ref="T107">_xlfn.SWITCH(Table2[[#This Row],[市场]],"HK",1,"US",7.77,"SG",6,1)</f>
        <v>1</v>
      </c>
      <c r="U107" s="3">
        <f>Table2[[#This Row],[汇率]]*Table2[[#This Row],[打新本金]]</f>
        <v>177613.35</v>
      </c>
      <c r="V107" s="3">
        <f>Table2[[#This Row],[费用合计]]*Table2[[#This Row],[汇率]]</f>
        <v>322.29000000000002</v>
      </c>
      <c r="W107" s="3">
        <f>Table2[[#This Row],[汇率]]*Table2[[#This Row],[收益额]]</f>
        <v>-1521.7900000000004</v>
      </c>
      <c r="Y107" s="27"/>
    </row>
    <row r="108" spans="1:25" x14ac:dyDescent="0.4">
      <c r="A108" s="34" t="s">
        <v>144</v>
      </c>
      <c r="B108" t="s">
        <v>16</v>
      </c>
      <c r="C108" s="10">
        <v>179148.68</v>
      </c>
      <c r="D108">
        <v>6000</v>
      </c>
      <c r="E108" s="3">
        <v>267.52999999999997</v>
      </c>
      <c r="F108">
        <v>20</v>
      </c>
      <c r="G108" s="3">
        <v>295.60000000000002</v>
      </c>
      <c r="H108" s="3">
        <v>318</v>
      </c>
      <c r="I108" s="3">
        <v>24.65</v>
      </c>
      <c r="J108" s="3">
        <f>Table2[[#This Row],[打新费用]]+Table2[[#This Row],[交易费用]]</f>
        <v>292.17999999999995</v>
      </c>
      <c r="K108" s="3">
        <f>((Table2[[#This Row],[卖出价]]-Table2[[#This Row],[中签价]])*Table2[[#This Row],[中签数]]-Table2[[#This Row],[费用合计]])</f>
        <v>155.8199999999996</v>
      </c>
      <c r="L108" s="5">
        <f>IFERROR(Table2[[#This Row],[收益额]]/Table2[[#This Row],[打新本金]],0)</f>
        <v>8.6978034111107939E-4</v>
      </c>
      <c r="M108" s="33">
        <v>5</v>
      </c>
      <c r="N108" s="2">
        <v>35.770000000000003</v>
      </c>
      <c r="O108" s="2">
        <f>Table2[[#This Row],[张恺霖
投资本金]]*Table2[[#This Row],[单次收益率]]*Table2[[#This Row],[结算系数]]</f>
        <v>0.15556021400771658</v>
      </c>
      <c r="P108" s="2">
        <f>Table2[[#This Row],[张恺霖
投资本金]]+Table2[[#This Row],[张恺霖
投资收益]]</f>
        <v>35.925560214007717</v>
      </c>
      <c r="Q108" s="2">
        <v>35.7575</v>
      </c>
      <c r="R108" s="2">
        <f>Table2[[#This Row],[张忻霖
投资本金]]*Table2[[#This Row],[单次收益率]]*Table2[[#This Row],[结算系数]]</f>
        <v>0.15550585273639711</v>
      </c>
      <c r="S108" s="2">
        <f>Table2[[#This Row],[张忻霖
投资本金]]+Table2[[#This Row],[张忻霖
投资收益]]</f>
        <v>35.913005852736397</v>
      </c>
      <c r="T108" cm="1">
        <f t="array" ref="T108">_xlfn.SWITCH(Table2[[#This Row],[市场]],"HK",1,"US",7.77,"SG",6,1)</f>
        <v>1</v>
      </c>
      <c r="U108" s="3">
        <f>Table2[[#This Row],[汇率]]*Table2[[#This Row],[打新本金]]</f>
        <v>179148.68</v>
      </c>
      <c r="V108" s="3">
        <f>Table2[[#This Row],[费用合计]]*Table2[[#This Row],[汇率]]</f>
        <v>292.17999999999995</v>
      </c>
      <c r="W108" s="3">
        <f>Table2[[#This Row],[汇率]]*Table2[[#This Row],[收益额]]</f>
        <v>155.8199999999996</v>
      </c>
      <c r="Y108" s="27"/>
    </row>
    <row r="109" spans="1:25" x14ac:dyDescent="0.4">
      <c r="A109" s="34" t="s">
        <v>146</v>
      </c>
      <c r="B109" t="s">
        <v>16</v>
      </c>
      <c r="C109" s="10">
        <v>153532.92000000001</v>
      </c>
      <c r="D109">
        <v>4000</v>
      </c>
      <c r="E109" s="3">
        <v>136.55000000000001</v>
      </c>
      <c r="F109">
        <v>0</v>
      </c>
      <c r="G109" s="3"/>
      <c r="H109" s="3"/>
      <c r="I109" s="3"/>
      <c r="J109" s="3">
        <f>Table2[[#This Row],[打新费用]]+Table2[[#This Row],[交易费用]]</f>
        <v>136.55000000000001</v>
      </c>
      <c r="K109" s="3">
        <f>((Table2[[#This Row],[卖出价]]-Table2[[#This Row],[中签价]])*Table2[[#This Row],[中签数]]-Table2[[#This Row],[费用合计]])</f>
        <v>-136.55000000000001</v>
      </c>
      <c r="L109" s="5">
        <f>IFERROR(Table2[[#This Row],[收益额]]/Table2[[#This Row],[打新本金]],0)</f>
        <v>-8.8938580729136139E-4</v>
      </c>
      <c r="M109" s="32">
        <v>1</v>
      </c>
      <c r="N109" s="2">
        <v>71.376960149288266</v>
      </c>
      <c r="O109" s="2">
        <f>Table2[[#This Row],[张恺霖
投资本金]]*Table2[[#This Row],[单次收益率]]*Table2[[#This Row],[结算系数]]</f>
        <v>-6.3481655324378078E-2</v>
      </c>
      <c r="P109" s="2">
        <f>Table2[[#This Row],[张恺霖
投资本金]]+Table2[[#This Row],[张恺霖
投资收益]]</f>
        <v>71.313478493963885</v>
      </c>
      <c r="Q109" s="2">
        <v>71.352017124354902</v>
      </c>
      <c r="R109" s="2">
        <f>Table2[[#This Row],[张忻霖
投资本金]]*Table2[[#This Row],[单次收益率]]*Table2[[#This Row],[结算系数]]</f>
        <v>-6.3459471352011423E-2</v>
      </c>
      <c r="S109" s="2">
        <f>Table2[[#This Row],[张忻霖
投资本金]]+Table2[[#This Row],[张忻霖
投资收益]]</f>
        <v>71.288557653002897</v>
      </c>
      <c r="T109" cm="1">
        <f t="array" ref="T109">_xlfn.SWITCH(Table2[[#This Row],[市场]],"HK",1,"US",7.77,"SG",6,1)</f>
        <v>1</v>
      </c>
      <c r="U109" s="3">
        <f>Table2[[#This Row],[汇率]]*Table2[[#This Row],[打新本金]]</f>
        <v>153532.92000000001</v>
      </c>
      <c r="V109" s="3">
        <f>Table2[[#This Row],[费用合计]]*Table2[[#This Row],[汇率]]</f>
        <v>136.55000000000001</v>
      </c>
      <c r="W109" s="3">
        <f>Table2[[#This Row],[汇率]]*Table2[[#This Row],[收益额]]</f>
        <v>-136.55000000000001</v>
      </c>
    </row>
    <row r="110" spans="1:25" x14ac:dyDescent="0.4">
      <c r="A110" s="34" t="s">
        <v>145</v>
      </c>
      <c r="B110" t="s">
        <v>16</v>
      </c>
      <c r="C110" s="10">
        <v>326257.46000000002</v>
      </c>
      <c r="D110">
        <v>100000</v>
      </c>
      <c r="E110" s="3">
        <v>275.39</v>
      </c>
      <c r="F110">
        <v>300</v>
      </c>
      <c r="G110" s="3">
        <v>32.299999999999997</v>
      </c>
      <c r="H110" s="3">
        <v>36.82</v>
      </c>
      <c r="I110" s="3">
        <v>31.6</v>
      </c>
      <c r="J110" s="3">
        <f>Table2[[#This Row],[打新费用]]+Table2[[#This Row],[交易费用]]</f>
        <v>306.99</v>
      </c>
      <c r="K110" s="3">
        <f>((Table2[[#This Row],[卖出价]]-Table2[[#This Row],[中签价]])*Table2[[#This Row],[中签数]]-Table2[[#This Row],[费用合计]])</f>
        <v>1049.0100000000009</v>
      </c>
      <c r="L110" s="5">
        <f>IFERROR(Table2[[#This Row],[收益额]]/Table2[[#This Row],[打新本金]],0)</f>
        <v>3.2152828015028401E-3</v>
      </c>
      <c r="M110" s="33">
        <v>5</v>
      </c>
      <c r="N110" s="2">
        <v>71.376960149288266</v>
      </c>
      <c r="O110" s="2">
        <f>Table2[[#This Row],[张恺霖
投资本金]]*Table2[[#This Row],[单次收益率]]*Table2[[#This Row],[结算系数]]</f>
        <v>1.1474855619578008</v>
      </c>
      <c r="P110" s="2">
        <f>Table2[[#This Row],[张恺霖
投资本金]]+Table2[[#This Row],[张恺霖
投资收益]]</f>
        <v>72.524445711246074</v>
      </c>
      <c r="Q110" s="2">
        <v>71.352017124354902</v>
      </c>
      <c r="R110" s="2">
        <f>Table2[[#This Row],[张忻霖
投资本金]]*Table2[[#This Row],[单次收益率]]*Table2[[#This Row],[结算系数]]</f>
        <v>1.1470845675623722</v>
      </c>
      <c r="S110" s="2">
        <f>Table2[[#This Row],[张忻霖
投资本金]]+Table2[[#This Row],[张忻霖
投资收益]]</f>
        <v>72.499101691917275</v>
      </c>
      <c r="T110" cm="1">
        <f t="array" ref="T110">_xlfn.SWITCH(Table2[[#This Row],[市场]],"HK",1,"US",7.77,"SG",6,1)</f>
        <v>1</v>
      </c>
      <c r="U110" s="3">
        <f>Table2[[#This Row],[汇率]]*Table2[[#This Row],[打新本金]]</f>
        <v>326257.46000000002</v>
      </c>
      <c r="V110" s="3">
        <f>Table2[[#This Row],[费用合计]]*Table2[[#This Row],[汇率]]</f>
        <v>306.99</v>
      </c>
      <c r="W110" s="3">
        <f>Table2[[#This Row],[汇率]]*Table2[[#This Row],[收益额]]</f>
        <v>1049.0100000000009</v>
      </c>
      <c r="Y110" s="27">
        <v>46212</v>
      </c>
    </row>
    <row r="111" spans="1:25" x14ac:dyDescent="0.4">
      <c r="A111" s="34"/>
      <c r="C111" s="10"/>
      <c r="E111" s="3"/>
      <c r="G111" s="3"/>
      <c r="H111" s="3"/>
      <c r="I111" s="3"/>
      <c r="J111" s="3">
        <f>Table2[[#This Row],[打新费用]]+Table2[[#This Row],[交易费用]]</f>
        <v>0</v>
      </c>
      <c r="K111" s="3">
        <f>((Table2[[#This Row],[卖出价]]-Table2[[#This Row],[中签价]])*Table2[[#This Row],[中签数]]-Table2[[#This Row],[费用合计]])</f>
        <v>0</v>
      </c>
      <c r="L111" s="5">
        <f>IFERROR(Table2[[#This Row],[收益额]]/Table2[[#This Row],[打新本金]],0)</f>
        <v>0</v>
      </c>
      <c r="M111" s="32">
        <v>1</v>
      </c>
      <c r="N111" s="2"/>
      <c r="O111" s="2">
        <f>Table2[[#This Row],[张恺霖
投资本金]]*Table2[[#This Row],[单次收益率]]*Table2[[#This Row],[结算系数]]</f>
        <v>0</v>
      </c>
      <c r="P111" s="2">
        <f>Table2[[#This Row],[张恺霖
投资本金]]+Table2[[#This Row],[张恺霖
投资收益]]</f>
        <v>0</v>
      </c>
      <c r="Q111" s="2"/>
      <c r="R111" s="2">
        <f>Table2[[#This Row],[张忻霖
投资本金]]*Table2[[#This Row],[单次收益率]]*Table2[[#This Row],[结算系数]]</f>
        <v>0</v>
      </c>
      <c r="S111" s="2">
        <f>Table2[[#This Row],[张忻霖
投资本金]]+Table2[[#This Row],[张忻霖
投资收益]]</f>
        <v>0</v>
      </c>
      <c r="T111" cm="1">
        <f t="array" ref="T111">_xlfn.SWITCH(Table2[[#This Row],[市场]],"HK",1,"US",7.77,"SG",6,1)</f>
        <v>1</v>
      </c>
      <c r="U111" s="3">
        <f>Table2[[#This Row],[汇率]]*Table2[[#This Row],[打新本金]]</f>
        <v>0</v>
      </c>
      <c r="V111" s="3">
        <f>Table2[[#This Row],[费用合计]]*Table2[[#This Row],[汇率]]</f>
        <v>0</v>
      </c>
      <c r="W111" s="3">
        <f>Table2[[#This Row],[汇率]]*Table2[[#This Row],[收益额]]</f>
        <v>0</v>
      </c>
    </row>
    <row r="112" spans="1:25" x14ac:dyDescent="0.4">
      <c r="C112" s="10"/>
      <c r="E112" s="3"/>
      <c r="G112" s="3"/>
      <c r="H112" s="3"/>
      <c r="I112" s="3"/>
      <c r="J112" s="3">
        <f>Table2[[#This Row],[打新费用]]+Table2[[#This Row],[交易费用]]</f>
        <v>0</v>
      </c>
      <c r="K112" s="3">
        <f>((Table2[[#This Row],[卖出价]]-Table2[[#This Row],[中签价]])*Table2[[#This Row],[中签数]]-Table2[[#This Row],[费用合计]])</f>
        <v>0</v>
      </c>
      <c r="L112" s="5">
        <f>IFERROR(Table2[[#This Row],[收益额]]/Table2[[#This Row],[打新本金]],0)</f>
        <v>0</v>
      </c>
      <c r="M112" s="32">
        <v>1</v>
      </c>
      <c r="N112" s="2"/>
      <c r="O112" s="2">
        <f>Table2[[#This Row],[张恺霖
投资本金]]*Table2[[#This Row],[单次收益率]]*Table2[[#This Row],[结算系数]]</f>
        <v>0</v>
      </c>
      <c r="P112" s="2">
        <f>Table2[[#This Row],[张恺霖
投资本金]]+Table2[[#This Row],[张恺霖
投资收益]]</f>
        <v>0</v>
      </c>
      <c r="Q112" s="2"/>
      <c r="R112" s="2">
        <f>Table2[[#This Row],[张忻霖
投资本金]]*Table2[[#This Row],[单次收益率]]*Table2[[#This Row],[结算系数]]</f>
        <v>0</v>
      </c>
      <c r="S112" s="2">
        <f>Table2[[#This Row],[张忻霖
投资本金]]+Table2[[#This Row],[张忻霖
投资收益]]</f>
        <v>0</v>
      </c>
      <c r="T112" cm="1">
        <f t="array" ref="T112">_xlfn.SWITCH(Table2[[#This Row],[市场]],"HK",1,"US",7.77,"SG",6,1)</f>
        <v>1</v>
      </c>
      <c r="U112" s="3">
        <f>Table2[[#This Row],[汇率]]*Table2[[#This Row],[打新本金]]</f>
        <v>0</v>
      </c>
      <c r="V112" s="3">
        <f>Table2[[#This Row],[费用合计]]*Table2[[#This Row],[汇率]]</f>
        <v>0</v>
      </c>
      <c r="W112" s="3">
        <f>Table2[[#This Row],[汇率]]*Table2[[#This Row],[收益额]]</f>
        <v>0</v>
      </c>
    </row>
    <row r="113" spans="3:24" x14ac:dyDescent="0.4">
      <c r="W113" s="23"/>
    </row>
    <row r="114" spans="3:24" x14ac:dyDescent="0.4">
      <c r="M114" s="38" t="s">
        <v>21</v>
      </c>
      <c r="N114" s="39" t="s">
        <v>18</v>
      </c>
      <c r="O114" s="8" t="s">
        <v>140</v>
      </c>
      <c r="P114" s="35">
        <f>SUM(P109:P110)</f>
        <v>143.83792420520996</v>
      </c>
      <c r="Q114" s="40" t="s">
        <v>19</v>
      </c>
      <c r="R114" s="11" t="s">
        <v>139</v>
      </c>
      <c r="S114" s="36">
        <f>SUM(S109:S110)</f>
        <v>143.78765934492017</v>
      </c>
      <c r="T114" s="41" t="s">
        <v>20</v>
      </c>
      <c r="U114" s="9" t="s">
        <v>147</v>
      </c>
      <c r="V114" s="9" t="str">
        <f ca="1">TEXT(TODAY()-$X$2,0)&amp;"天"</f>
        <v>525天</v>
      </c>
      <c r="W114" s="12" t="s">
        <v>56</v>
      </c>
      <c r="X114" s="13">
        <f>COUNTIF(Table2[配签数],"&gt;0")</f>
        <v>109</v>
      </c>
    </row>
    <row r="115" spans="3:24" x14ac:dyDescent="0.4">
      <c r="C115" s="12" t="s">
        <v>56</v>
      </c>
      <c r="D115" s="13">
        <f>COUNTIF(Table2[配签数],"&gt;0")</f>
        <v>109</v>
      </c>
      <c r="M115" s="38"/>
      <c r="N115" s="39"/>
      <c r="O115" s="8" t="s">
        <v>59</v>
      </c>
      <c r="P115" s="18">
        <f>SUMIFS(Table2[张恺霖
投资收益],Table2[中签数],"&lt;&gt;",Table2[卖出价],"&lt;&gt;")</f>
        <v>44.216914860278834</v>
      </c>
      <c r="Q115" s="40"/>
      <c r="R115" s="11" t="s">
        <v>59</v>
      </c>
      <c r="S115" s="19">
        <f>SUMIFS(Table2[张忻霖
投资收益],Table2[卖出价],"&lt;&gt;")</f>
        <v>40.678914206859623</v>
      </c>
      <c r="T115" s="41"/>
      <c r="U115" s="9" t="s">
        <v>59</v>
      </c>
      <c r="V115" s="20">
        <f>SUMIFS(Table2[港币
收益额折算],Table2[卖出价],"&lt;&gt;")</f>
        <v>121283.7858</v>
      </c>
      <c r="W115" s="14" t="s">
        <v>57</v>
      </c>
      <c r="X115" s="15">
        <f>COUNTIF(Table2[中签数],"&gt;0")</f>
        <v>54</v>
      </c>
    </row>
    <row r="116" spans="3:24" x14ac:dyDescent="0.4">
      <c r="C116" s="14" t="s">
        <v>57</v>
      </c>
      <c r="D116" s="15">
        <f>COUNTIF(Table2[中签数],"&gt;0")</f>
        <v>54</v>
      </c>
      <c r="K116" s="29"/>
      <c r="M116" s="38"/>
      <c r="N116" s="39"/>
      <c r="O116" s="8" t="s">
        <v>95</v>
      </c>
      <c r="P116" s="30">
        <f ca="1">P115/_xlfn.MAXIFS(Table2[张恺霖
投资本金],Table2[张恺霖
投资本金],"&gt;0")*365/(TODAY()-$X$2)</f>
        <v>0.28585906327659738</v>
      </c>
      <c r="Q116" s="40"/>
      <c r="R116" s="11" t="s">
        <v>95</v>
      </c>
      <c r="S116" s="22">
        <f ca="1">S115/_xlfn.MAXIFS(Table2[张忻霖
投资本金],Table2[张忻霖
投资本金],"&gt;0")*365/(TODAY()-$X$2)</f>
        <v>7.0703827073827441E-2</v>
      </c>
      <c r="T116" s="41"/>
      <c r="U116" s="9" t="s">
        <v>95</v>
      </c>
      <c r="V116" s="31">
        <f ca="1">V115/_xlfn.MAXIFS(Table2[港币
保证金折算],Table2[港币
保证金折算],"&gt;0")*365/(TODAY()-$X$2)</f>
        <v>0.11366996287637568</v>
      </c>
      <c r="W116" s="14" t="s">
        <v>58</v>
      </c>
      <c r="X116" s="37">
        <f>X115/X114</f>
        <v>0.49541284403669728</v>
      </c>
    </row>
    <row r="117" spans="3:24" x14ac:dyDescent="0.4">
      <c r="C117" s="16" t="s">
        <v>58</v>
      </c>
      <c r="D117" s="17">
        <f>D116/D115</f>
        <v>0.49541284403669728</v>
      </c>
      <c r="M117" s="38"/>
      <c r="N117" s="39"/>
      <c r="O117" s="6" t="s">
        <v>96</v>
      </c>
      <c r="P117" s="30">
        <f ca="1">P115/AVERAGEIFS(Table2[张恺霖
投资本金],Table2[张恺霖
投资本金],"&gt;0")*365/(TODAY()-$X$2)</f>
        <v>0.91988314628324397</v>
      </c>
      <c r="Q117" s="40"/>
      <c r="R117" s="7" t="s">
        <v>96</v>
      </c>
      <c r="S117" s="22">
        <f ca="1">S115/AVERAGEIFS(Table2[张忻霖
投资本金],Table2[张忻霖
投资本金],"&gt;0")*365/(TODAY()-$X$2)</f>
        <v>0.54712883691898162</v>
      </c>
      <c r="T117" s="41"/>
      <c r="U117" s="9" t="s">
        <v>96</v>
      </c>
      <c r="V117" s="21">
        <f ca="1">V115/AVERAGEIFS(Table2[港币
保证金折算],Table2[港币
保证金折算],"&gt;0")*365/(TODAY()-$X$2)</f>
        <v>0.39972136382895673</v>
      </c>
      <c r="W117" s="16" t="s">
        <v>148</v>
      </c>
      <c r="X117" s="17">
        <f>COUNTIF(Table2[收益额],"&gt;0")/X114</f>
        <v>0.3669724770642202</v>
      </c>
    </row>
  </sheetData>
  <mergeCells count="4">
    <mergeCell ref="M114:M117"/>
    <mergeCell ref="N114:N117"/>
    <mergeCell ref="Q114:Q117"/>
    <mergeCell ref="T114:T117"/>
  </mergeCells>
  <conditionalFormatting sqref="C1:C1048576">
    <cfRule type="cellIs" dxfId="1" priority="2" operator="greaterThan">
      <formula>1000000</formula>
    </cfRule>
  </conditionalFormatting>
  <conditionalFormatting sqref="L2:L112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{0E5A857D-58F0-4887-8BB8-50C14DD8E7E2}</x14:id>
        </ext>
      </extLst>
    </cfRule>
  </conditionalFormatting>
  <conditionalFormatting sqref="W2:W112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{9311D0A4-4CF0-445F-B761-5FAC140C39D1}</x14:id>
        </ext>
      </extLst>
    </cfRule>
  </conditionalFormatting>
  <conditionalFormatting sqref="W114:W117">
    <cfRule type="cellIs" dxfId="0" priority="1" operator="greaterThan">
      <formula>1000000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5A857D-58F0-4887-8BB8-50C14DD8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L2:L112</xm:sqref>
        </x14:conditionalFormatting>
        <x14:conditionalFormatting xmlns:xm="http://schemas.microsoft.com/office/excel/2006/main">
          <x14:cfRule type="dataBar" id="{9311D0A4-4CF0-445F-B761-5FAC140C3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W2:W112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港美股打新记录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Zhang</dc:creator>
  <cp:lastModifiedBy>Jason Zhang</cp:lastModifiedBy>
  <dcterms:created xsi:type="dcterms:W3CDTF">2025-09-30T08:45:15Z</dcterms:created>
  <dcterms:modified xsi:type="dcterms:W3CDTF">2026-07-30T16:37:59Z</dcterms:modified>
</cp:coreProperties>
</file>