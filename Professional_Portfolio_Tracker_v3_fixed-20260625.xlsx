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3" yWindow="-103" windowWidth="24892" windowHeight="14914" tabRatio="600" firstSheet="0" activeTab="7" autoFilterDateGrouping="1"/>
  </bookViews>
  <sheets>
    <sheet name="README" sheetId="1" state="visible" r:id="rId1"/>
    <sheet name="Config" sheetId="2" state="visible" r:id="rId2"/>
    <sheet name="Prices" sheetId="3" state="visible" r:id="rId3"/>
    <sheet name="Transactions" sheetId="4" state="visible" r:id="rId4"/>
    <sheet name="Cash_Flow" sheetId="5" state="visible" r:id="rId5"/>
    <sheet name="Holdings" sheetId="6" state="visible" r:id="rId6"/>
    <sheet name="Daily_Equity" sheetId="7" state="visible" r:id="rId7"/>
    <sheet name="Dashboard" sheetId="8" state="visible" r:id="rId8"/>
    <sheet name="HK_IPO" sheetId="9" state="visible" r:id="rId9"/>
  </sheets>
  <definedNames/>
  <calcPr calcId="191028" fullCalcOnLoad="1"/>
</workbook>
</file>

<file path=xl/styles.xml><?xml version="1.0" encoding="utf-8"?>
<styleSheet xmlns="http://schemas.openxmlformats.org/spreadsheetml/2006/main">
  <numFmts count="5">
    <numFmt numFmtId="164" formatCode="\$#,##0.00;[Red]\(\$#,##0.00\);\-"/>
    <numFmt numFmtId="165" formatCode="#,##0;[Red]\(#,##0\);\-"/>
    <numFmt numFmtId="166" formatCode="\$#,##0.00"/>
    <numFmt numFmtId="167" formatCode="yyyy-mm-dd"/>
    <numFmt numFmtId="168" formatCode="$#,##0.00"/>
  </numFmts>
  <fonts count="6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4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1F497D"/>
      <sz val="14"/>
    </font>
    <font>
      <name val="Calibri"/>
      <b val="1"/>
      <color rgb="00FFFFFF"/>
      <sz val="11"/>
    </font>
    <font>
      <name val="Calibri"/>
      <sz val="11"/>
    </font>
  </fonts>
  <fills count="7">
    <fill>
      <patternFill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2CC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pivotButton="0" quotePrefix="0" xfId="0"/>
    <xf numFmtId="0" fontId="2" fillId="3" borderId="1" applyAlignment="1" pivotButton="0" quotePrefix="0" xfId="0">
      <alignment horizontal="center"/>
    </xf>
    <xf numFmtId="0" fontId="0" fillId="4" borderId="0" pivotButton="0" quotePrefix="0" xfId="0"/>
    <xf numFmtId="164" fontId="0" fillId="0" borderId="0" pivotButton="0" quotePrefix="0" xfId="0"/>
    <xf numFmtId="165" fontId="0" fillId="0" borderId="0" pivotButton="0" quotePrefix="0" xfId="0"/>
    <xf numFmtId="10" fontId="0" fillId="0" borderId="0" pivotButton="0" quotePrefix="0" xfId="0"/>
    <xf numFmtId="14" fontId="0" fillId="4" borderId="0" pivotButton="0" quotePrefix="0" xfId="0"/>
    <xf numFmtId="166" fontId="0" fillId="5" borderId="0" pivotButton="0" quotePrefix="0" xfId="0"/>
    <xf numFmtId="14" fontId="0" fillId="5" borderId="0" pivotButton="0" quotePrefix="0" xfId="0"/>
    <xf numFmtId="0" fontId="1" fillId="2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168" fontId="5" fillId="4" borderId="0" pivotButton="0" quotePrefix="0" xfId="0"/>
    <xf numFmtId="168" fontId="5" fillId="0" borderId="0" pivotButton="0" quotePrefix="0" xfId="0"/>
    <xf numFmtId="0" fontId="5" fillId="0" borderId="0" pivotButton="0" quotePrefix="0" xfId="0"/>
    <xf numFmtId="0" fontId="3" fillId="0" borderId="0" pivotButton="0" quotePrefix="0" xfId="0"/>
    <xf numFmtId="167" fontId="5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/>
            </a:pPr>
            <a:r>
              <a:rPr lang="en-US"/>
              <a:t>Allocation</a:t>
            </a:r>
          </a:p>
        </rich>
      </tx>
      <overlay val="0"/>
    </title>
    <plotArea>
      <layout/>
      <doughnutChart>
        <varyColors val="1"/>
        <ser>
          <idx val="0"/>
          <order val="0"/>
          <spPr>
            <a:ln>
              <a:prstDash val="solid"/>
            </a:ln>
          </spPr>
          <dLbls>
            <spPr>
              <a:noFill/>
              <a:ln>
                <a:noFill/>
                <a:prstDash val="solid"/>
              </a:ln>
            </spPr>
            <txPr>
              <a:bodyPr wrap="square" lIns="38100" tIns="19050" rIns="38100" bIns="19050" anchor="ctr">
                <a:spAutoFit/>
              </a:bodyPr>
              <a:lstStyle/>
              <a:p>
                <a:pPr>
                  <a:defRPr>
                    <a:ln w="6350">
                      <a:solidFill>
                        <a:schemeClr val="bg1"/>
                      </a:solidFill>
                      <a:prstDash val="solid"/>
                    </a:ln>
                    <a:solidFill>
                      <a:schemeClr val="bg2"/>
                    </a:solidFill>
                  </a:defRPr>
                </a:pPr>
                <a:r>
                  <a:t/>
                </a:r>
                <a:endParaRPr lang="en-US"/>
              </a:p>
            </txPr>
            <showLegendKey val="0"/>
            <showVal val="0"/>
            <showCatName val="1"/>
            <showSerName val="0"/>
            <showPercent val="1"/>
            <showBubbleSize val="0"/>
            <showLeaderLines val="0"/>
          </dLbls>
          <cat>
            <strRef>
              <f>Dashboard!$D$4:$D$7</f>
              <strCache>
                <ptCount val="4"/>
                <pt idx="0">
                  <v>L0+</v>
                </pt>
                <pt idx="1">
                  <v>L1</v>
                </pt>
                <pt idx="2">
                  <v>L2</v>
                </pt>
                <pt idx="3">
                  <v>Cash</v>
                </pt>
              </strCache>
            </strRef>
          </cat>
          <val>
            <numRef>
              <f>Dashboard!$E$4:$E$7</f>
              <numCache>
                <formatCode>0.00%</formatCode>
                <ptCount val="4"/>
                <pt idx="0">
                  <v>0.736101687430414</v>
                </pt>
                <pt idx="1">
                  <v>0.102974792796329</v>
                </pt>
                <pt idx="2">
                  <v>0</v>
                </pt>
                <pt idx="3">
                  <v>0.160923519773257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  <showLeaderLines val="0"/>
        </dLbls>
        <firstSliceAng val="0"/>
        <holeSize val="50"/>
      </doughnutChart>
    </plotArea>
    <legend>
      <legendPos val="r"/>
      <overlay val="0"/>
      <txPr>
        <a:bodyPr/>
        <a:lstStyle/>
        <a:p>
          <a:pPr rtl="0">
            <a:defRPr/>
          </a:pPr>
          <a:r>
            <a:t/>
          </a:r>
          <a:endParaRPr lang="en-US"/>
        </a:p>
      </txPr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 spcFirstLastPara="1" vertOverflow="ellipsis" vert="horz" wrap="square" anchor="ctr" anchorCtr="1"/>
          <a:lstStyle/>
          <a:p>
            <a:pPr>
              <a:defRPr sz="1600" b="1" i="0" strike="noStrike" kern="1200" spc="0" normalizeH="0" baseline="0">
                <a:solidFill>
                  <a:schemeClr val="dk1">
                    <a:lumMod val="50000"/>
                    <a:lumOff val="50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en-US"/>
              <a:t>Equity Curve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600" b="1" i="0" strike="noStrike" kern="1200" spc="0" normalizeH="0" baseline="0">
              <a:solidFill>
                <a:schemeClr val="dk1">
                  <a:lumMod val="50000"/>
                  <a:lumOff val="50000"/>
                </a:schemeClr>
              </a:solidFill>
              <a:latin typeface="+mj-lt"/>
              <a:ea typeface="+mj-ea"/>
              <a:cs typeface="+mj-cs"/>
            </a:defRPr>
          </a:pPr>
          <a:r>
            <a:t/>
          </a:r>
          <a:endParaRPr lang="en-US"/>
        </a:p>
      </txPr>
    </title>
    <plotArea>
      <layout/>
      <lineChart>
        <grouping val="standard"/>
        <varyColors val="0"/>
        <ser>
          <idx val="0"/>
          <order val="0"/>
          <tx>
            <v>Equity</v>
          </tx>
          <spPr>
            <a:ln w="2222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Daily_Equity!$A$4:$A$80</f>
              <numCache>
                <formatCode>m/d/yyyy</formatCode>
                <ptCount val="77"/>
                <pt idx="0">
                  <v>46038</v>
                </pt>
                <pt idx="1">
                  <v>46039</v>
                </pt>
                <pt idx="2">
                  <v>46040</v>
                </pt>
                <pt idx="3">
                  <v>46041</v>
                </pt>
                <pt idx="4">
                  <v>46042</v>
                </pt>
                <pt idx="5">
                  <v>46043</v>
                </pt>
                <pt idx="6">
                  <v>46044</v>
                </pt>
                <pt idx="7">
                  <v>46045</v>
                </pt>
                <pt idx="8">
                  <v>46046</v>
                </pt>
                <pt idx="9">
                  <v>46047</v>
                </pt>
                <pt idx="10">
                  <v>46048</v>
                </pt>
                <pt idx="11">
                  <v>46049</v>
                </pt>
                <pt idx="12">
                  <v>46050</v>
                </pt>
                <pt idx="13">
                  <v>46051</v>
                </pt>
                <pt idx="14">
                  <v>46052</v>
                </pt>
                <pt idx="15">
                  <v>46053</v>
                </pt>
                <pt idx="16">
                  <v>46054</v>
                </pt>
                <pt idx="17">
                  <v>46055</v>
                </pt>
                <pt idx="18">
                  <v>46056</v>
                </pt>
                <pt idx="19">
                  <v>46057</v>
                </pt>
                <pt idx="20">
                  <v>46058</v>
                </pt>
                <pt idx="21">
                  <v>46059</v>
                </pt>
                <pt idx="22">
                  <v>46060</v>
                </pt>
                <pt idx="23">
                  <v>46061</v>
                </pt>
                <pt idx="24">
                  <v>46062</v>
                </pt>
                <pt idx="25">
                  <v>46063</v>
                </pt>
                <pt idx="26">
                  <v>46064</v>
                </pt>
                <pt idx="27">
                  <v>46065</v>
                </pt>
                <pt idx="28">
                  <v>46066</v>
                </pt>
                <pt idx="29">
                  <v>46067</v>
                </pt>
                <pt idx="30">
                  <v>46068</v>
                </pt>
                <pt idx="31">
                  <v>46069</v>
                </pt>
                <pt idx="32">
                  <v>46070</v>
                </pt>
                <pt idx="33">
                  <v>46071</v>
                </pt>
                <pt idx="34">
                  <v>46072</v>
                </pt>
                <pt idx="35">
                  <v>46073</v>
                </pt>
                <pt idx="36">
                  <v>46074</v>
                </pt>
                <pt idx="37">
                  <v>46075</v>
                </pt>
                <pt idx="38">
                  <v>46076</v>
                </pt>
                <pt idx="39">
                  <v>46077</v>
                </pt>
                <pt idx="40">
                  <v>46078</v>
                </pt>
                <pt idx="41">
                  <v>46079</v>
                </pt>
                <pt idx="42">
                  <v>46080</v>
                </pt>
                <pt idx="43">
                  <v>46081</v>
                </pt>
                <pt idx="44">
                  <v>46082</v>
                </pt>
                <pt idx="45">
                  <v>46083</v>
                </pt>
                <pt idx="46">
                  <v>46084</v>
                </pt>
                <pt idx="47">
                  <v>46085</v>
                </pt>
                <pt idx="48">
                  <v>46086</v>
                </pt>
                <pt idx="49">
                  <v>46087</v>
                </pt>
                <pt idx="50">
                  <v>46088</v>
                </pt>
                <pt idx="51">
                  <v>46089</v>
                </pt>
                <pt idx="52">
                  <v>46090</v>
                </pt>
                <pt idx="53">
                  <v>46091</v>
                </pt>
                <pt idx="54">
                  <v>46092</v>
                </pt>
                <pt idx="55">
                  <v>46093</v>
                </pt>
                <pt idx="56">
                  <v>46094</v>
                </pt>
                <pt idx="57">
                  <v>46095</v>
                </pt>
                <pt idx="58">
                  <v>46096</v>
                </pt>
                <pt idx="59">
                  <v>46097</v>
                </pt>
                <pt idx="60">
                  <v>46098</v>
                </pt>
                <pt idx="61">
                  <v>46099</v>
                </pt>
                <pt idx="62">
                  <v>46100</v>
                </pt>
                <pt idx="63">
                  <v>46101</v>
                </pt>
                <pt idx="64">
                  <v>46102</v>
                </pt>
                <pt idx="65">
                  <v>46103</v>
                </pt>
                <pt idx="66">
                  <v>46104</v>
                </pt>
                <pt idx="67">
                  <v>46105</v>
                </pt>
                <pt idx="68">
                  <v>46106</v>
                </pt>
                <pt idx="69">
                  <v>46107</v>
                </pt>
                <pt idx="70">
                  <v>46108</v>
                </pt>
                <pt idx="71">
                  <v>46109</v>
                </pt>
                <pt idx="72">
                  <v>46110</v>
                </pt>
                <pt idx="73">
                  <v>46111</v>
                </pt>
                <pt idx="74">
                  <v>46112</v>
                </pt>
                <pt idx="75">
                  <v>46113</v>
                </pt>
                <pt idx="76">
                  <v>46114</v>
                </pt>
              </numCache>
            </numRef>
          </cat>
          <val>
            <numRef>
              <f>Daily_Equity!$B$4:$B$80</f>
              <numCache>
                <formatCode>General</formatCode>
                <ptCount val="77"/>
                <pt idx="0">
                  <v>101640.09</v>
                </pt>
                <pt idx="1">
                  <v>101639.92</v>
                </pt>
                <pt idx="2">
                  <v>101639.24</v>
                </pt>
                <pt idx="3">
                  <v>101720.03</v>
                </pt>
                <pt idx="4">
                  <v>101528.06</v>
                </pt>
                <pt idx="5">
                  <v>102775.2</v>
                </pt>
                <pt idx="6">
                  <v>103332.01</v>
                </pt>
                <pt idx="7">
                  <v>103790.64</v>
                </pt>
                <pt idx="8">
                  <v>103781.67</v>
                </pt>
                <pt idx="9">
                  <v>103777.53</v>
                </pt>
                <pt idx="10">
                  <v>103689.02</v>
                </pt>
                <pt idx="11">
                  <v>106441.34</v>
                </pt>
                <pt idx="12">
                  <v>106812.29</v>
                </pt>
                <pt idx="13">
                  <v>106618.12</v>
                </pt>
                <pt idx="14">
                  <v>105062.67</v>
                </pt>
                <pt idx="15">
                  <v>105062.96</v>
                </pt>
                <pt idx="16">
                  <v>105060.87</v>
                </pt>
                <pt idx="17">
                  <v>105374.25</v>
                </pt>
                <pt idx="18">
                  <v>104086.05</v>
                </pt>
                <pt idx="19">
                  <v>102625.99</v>
                </pt>
                <pt idx="20">
                  <v>101722.26</v>
                </pt>
                <pt idx="21">
                  <v>103961.48</v>
                </pt>
                <pt idx="22">
                  <v>103962.01</v>
                </pt>
                <pt idx="23">
                  <v>103962.31</v>
                </pt>
                <pt idx="24">
                  <v>104768.64</v>
                </pt>
                <pt idx="25">
                  <v>104761.02</v>
                </pt>
                <pt idx="26">
                  <v>104943.36</v>
                </pt>
                <pt idx="27">
                  <v>103612.12</v>
                </pt>
                <pt idx="28">
                  <v>103548.57</v>
                </pt>
                <pt idx="29">
                  <v>103548.61</v>
                </pt>
                <pt idx="30">
                  <v>103549.48</v>
                </pt>
                <pt idx="31">
                  <v>103659.99</v>
                </pt>
                <pt idx="32">
                  <v>103739.82</v>
                </pt>
                <pt idx="33">
                  <v>104239.56</v>
                </pt>
                <pt idx="34">
                  <v>104045.96</v>
                </pt>
                <pt idx="35">
                  <v>104253.37</v>
                </pt>
                <pt idx="36">
                  <v>104252.37</v>
                </pt>
                <pt idx="37">
                  <v>104253.21</v>
                </pt>
                <pt idx="38">
                  <v>103746.07</v>
                </pt>
                <pt idx="39">
                  <v>104309.47</v>
                </pt>
                <pt idx="40">
                  <v>105001.14</v>
                </pt>
                <pt idx="41">
                  <v>104087.94</v>
                </pt>
                <pt idx="42">
                  <v>103677.52</v>
                </pt>
                <pt idx="43">
                  <v>103677.8</v>
                </pt>
                <pt idx="44">
                  <v>103678.01</v>
                </pt>
                <pt idx="45">
                  <v>103512.5</v>
                </pt>
                <pt idx="46">
                  <v>102110.39</v>
                </pt>
                <pt idx="47">
                  <v>102405.13</v>
                </pt>
                <pt idx="48">
                  <v>102399.4</v>
                </pt>
                <pt idx="49">
                  <v>101371.09</v>
                </pt>
                <pt idx="50">
                  <v>101371.16</v>
                </pt>
                <pt idx="51">
                  <v>101371.41</v>
                </pt>
                <pt idx="52">
                  <v>102416.16</v>
                </pt>
                <pt idx="53">
                  <v>102582.3</v>
                </pt>
                <pt idx="54">
                  <v>102818.33</v>
                </pt>
                <pt idx="55">
                  <v>101768.43</v>
                </pt>
                <pt idx="56">
                  <v>101182.06</v>
                </pt>
                <pt idx="57">
                  <v>101180.19</v>
                </pt>
                <pt idx="58">
                  <v>101181.82</v>
                </pt>
                <pt idx="59">
                  <v>101930.55</v>
                </pt>
                <pt idx="60">
                  <v>102075.06</v>
                </pt>
                <pt idx="61">
                  <v>101176.79</v>
                </pt>
                <pt idx="62">
                  <v>101543.43</v>
                </pt>
                <pt idx="63">
                  <v>100647.77</v>
                </pt>
                <pt idx="64">
                  <v>100646.11</v>
                </pt>
                <pt idx="65">
                  <v>100647.74</v>
                </pt>
                <pt idx="66">
                  <v>101628.25</v>
                </pt>
                <pt idx="67">
                  <v>101593.14</v>
                </pt>
                <pt idx="68">
                  <v>102013.63</v>
                </pt>
                <pt idx="69">
                  <v>100466.23</v>
                </pt>
                <pt idx="70">
                  <v>99281.14</v>
                </pt>
                <pt idx="71">
                  <v>99282.23</v>
                </pt>
                <pt idx="72">
                  <v>99281.11</v>
                </pt>
                <pt idx="73">
                  <v>98958.33</v>
                </pt>
                <pt idx="74">
                  <v>100927</v>
                </pt>
                <pt idx="75">
                  <v>101498.67</v>
                </pt>
                <pt idx="76">
                  <v>101667.95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50020001"/>
        <axId val="50020002"/>
      </lineChart>
      <dateAx>
        <axId val="50020001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spc="0" normalizeH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020002"/>
        <crosses val="autoZero"/>
        <lblOffset val="100"/>
        <baseTimeUnit val="days"/>
      </dateAx>
      <valAx>
        <axId val="50020002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dk1">
                  <a:alpha val="54000"/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en-US"/>
          </a:p>
        </txPr>
        <crossAx val="50020001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5</col>
      <colOff>239479</colOff>
      <row>0</row>
      <rowOff>136073</rowOff>
    </from>
    <to>
      <col>10</col>
      <colOff>397328</colOff>
      <row>14</row>
      <rowOff>163287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0</col>
      <colOff>70756</colOff>
      <row>15</row>
      <rowOff>92527</rowOff>
    </from>
    <to>
      <col>10</col>
      <colOff>419100</colOff>
      <row>29</row>
      <rowOff>168727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4.6"/>
  <cols>
    <col width="100.765625" customWidth="1" min="1" max="1"/>
  </cols>
  <sheetData>
    <row r="1" ht="18.45" customHeight="1">
      <c r="A1" s="1" t="inlineStr">
        <is>
          <t>Professional Portfolio Tracker v3 Fixed</t>
        </is>
      </c>
    </row>
    <row r="3">
      <c r="A3" t="inlineStr">
        <is>
          <t>Fixed: Transactions are calculated by Ticker + Level separately.</t>
        </is>
      </c>
    </row>
    <row r="4">
      <c r="A4" t="inlineStr">
        <is>
          <t>Fixed: row 4 formulas do not reference the header row.</t>
        </is>
      </c>
    </row>
    <row r="5">
      <c r="A5" t="inlineStr">
        <is>
          <t>Only record trades from Strategy Start Date onward.</t>
        </is>
      </c>
    </row>
    <row r="6">
      <c r="A6" t="inlineStr">
        <is>
          <t>Use Cash_Flow for future deposits/withdrawals only.</t>
        </is>
      </c>
    </row>
    <row r="7">
      <c r="A7" t="inlineStr">
        <is>
          <t>Update Prices manually for current valuation.</t>
        </is>
      </c>
    </row>
    <row r="8">
      <c r="A8" t="inlineStr">
        <is>
          <t>Rows prebuilt to 200; copy formulas down if needed.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B5" sqref="B5"/>
    </sheetView>
  </sheetViews>
  <sheetFormatPr baseColWidth="8" defaultRowHeight="14.6"/>
  <cols>
    <col width="22.765625" customWidth="1" min="1" max="2"/>
    <col width="12.61328125" customWidth="1" min="4" max="8"/>
  </cols>
  <sheetData>
    <row r="1" ht="18.45" customHeight="1">
      <c r="A1" s="1" t="inlineStr">
        <is>
          <t>Strategy Configuration</t>
        </is>
      </c>
      <c r="D1" s="2" t="inlineStr">
        <is>
          <t>Tickers</t>
        </is>
      </c>
      <c r="F1" s="2" t="inlineStr">
        <is>
          <t>Levels</t>
        </is>
      </c>
      <c r="H1" s="2" t="inlineStr">
        <is>
          <t>Sides</t>
        </is>
      </c>
    </row>
    <row r="2">
      <c r="D2" t="inlineStr">
        <is>
          <t>JEPQ</t>
        </is>
      </c>
      <c r="F2" t="inlineStr">
        <is>
          <t>L0+</t>
        </is>
      </c>
      <c r="H2" t="inlineStr">
        <is>
          <t>BUY</t>
        </is>
      </c>
    </row>
    <row r="3">
      <c r="A3" t="inlineStr">
        <is>
          <t>Strategy Start Date</t>
        </is>
      </c>
      <c r="B3" s="7" t="n">
        <v>46037</v>
      </c>
      <c r="D3" t="inlineStr">
        <is>
          <t>QUAL</t>
        </is>
      </c>
      <c r="F3" t="inlineStr">
        <is>
          <t>L1</t>
        </is>
      </c>
      <c r="H3" t="inlineStr">
        <is>
          <t>SELL</t>
        </is>
      </c>
    </row>
    <row r="4">
      <c r="A4" t="inlineStr">
        <is>
          <t>Starting Equity ($)</t>
        </is>
      </c>
      <c r="B4" s="3" t="n">
        <v>99215.41</v>
      </c>
      <c r="D4" t="inlineStr">
        <is>
          <t>SPY</t>
        </is>
      </c>
      <c r="F4" t="inlineStr">
        <is>
          <t>L2</t>
        </is>
      </c>
    </row>
    <row r="5">
      <c r="A5" t="inlineStr">
        <is>
          <t>L0+ Target Weight</t>
        </is>
      </c>
      <c r="B5" s="3" t="n">
        <v>0.65</v>
      </c>
      <c r="D5" t="inlineStr">
        <is>
          <t>QQQ</t>
        </is>
      </c>
    </row>
    <row r="6">
      <c r="A6" t="inlineStr">
        <is>
          <t>Max L1+L2 Weight</t>
        </is>
      </c>
      <c r="B6" s="3" t="n">
        <v>0.35</v>
      </c>
      <c r="D6" t="inlineStr">
        <is>
          <t>SOXX</t>
        </is>
      </c>
    </row>
    <row r="7">
      <c r="A7" t="inlineStr">
        <is>
          <t>Single Ticker Warning</t>
        </is>
      </c>
      <c r="B7" s="3" t="n">
        <v>0.1</v>
      </c>
      <c r="D7" t="inlineStr">
        <is>
          <t>TQQQ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B10" sqref="B10"/>
    </sheetView>
  </sheetViews>
  <sheetFormatPr baseColWidth="8" defaultRowHeight="14.6"/>
  <cols>
    <col width="6" bestFit="1" customWidth="1" min="1" max="1"/>
    <col width="16.69140625" customWidth="1" min="2" max="3"/>
  </cols>
  <sheetData>
    <row r="1" ht="18.45" customHeight="1">
      <c r="A1" s="10" t="inlineStr">
        <is>
          <t>Current Prices</t>
        </is>
      </c>
    </row>
    <row r="3">
      <c r="A3" s="2" t="inlineStr">
        <is>
          <t>Ticker</t>
        </is>
      </c>
      <c r="B3" s="2" t="inlineStr">
        <is>
          <t>Last Price</t>
        </is>
      </c>
      <c r="C3" s="2" t="inlineStr">
        <is>
          <t>Updated</t>
        </is>
      </c>
    </row>
    <row r="4">
      <c r="A4" t="inlineStr">
        <is>
          <t>JEPQ</t>
        </is>
      </c>
      <c r="B4" s="8" t="n">
        <v>59.86</v>
      </c>
      <c r="C4" s="9" t="n">
        <v>46197</v>
      </c>
    </row>
    <row r="5">
      <c r="A5" t="inlineStr">
        <is>
          <t>QUAL</t>
        </is>
      </c>
      <c r="B5" s="8" t="n">
        <v>213.01</v>
      </c>
      <c r="C5" s="9" t="n">
        <v>46197</v>
      </c>
    </row>
    <row r="6">
      <c r="A6" t="inlineStr">
        <is>
          <t>SPY</t>
        </is>
      </c>
      <c r="B6" s="8" t="n">
        <v>733.58</v>
      </c>
      <c r="C6" s="9" t="n">
        <v>46197</v>
      </c>
    </row>
    <row r="7">
      <c r="A7" t="inlineStr">
        <is>
          <t>QQQ</t>
        </is>
      </c>
      <c r="B7" s="8" t="n">
        <v>713.65</v>
      </c>
      <c r="C7" s="9" t="n">
        <v>46197</v>
      </c>
    </row>
    <row r="8">
      <c r="A8" t="inlineStr">
        <is>
          <t>SOXX</t>
        </is>
      </c>
      <c r="B8" s="8" t="n">
        <v>603.39</v>
      </c>
      <c r="C8" s="9" t="n">
        <v>46197</v>
      </c>
    </row>
    <row r="9">
      <c r="A9" t="inlineStr">
        <is>
          <t>TQQQ</t>
        </is>
      </c>
      <c r="B9" s="8" t="n">
        <v>74.44</v>
      </c>
      <c r="C9" s="9" t="n">
        <v>46197</v>
      </c>
    </row>
  </sheetData>
  <mergeCells count="1">
    <mergeCell ref="A1:C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206"/>
  <sheetViews>
    <sheetView topLeftCell="I1" workbookViewId="0">
      <pane ySplit="3" topLeftCell="A29" activePane="bottomLeft" state="frozen"/>
      <selection pane="bottomLeft" activeCell="R49" sqref="R49"/>
    </sheetView>
  </sheetViews>
  <sheetFormatPr baseColWidth="8" defaultRowHeight="14.6"/>
  <cols>
    <col width="12.61328125" customWidth="1" min="1" max="1"/>
    <col width="10.765625" customWidth="1" min="2" max="5"/>
    <col width="12.61328125" customWidth="1" min="6" max="7"/>
    <col width="14.69140625" customWidth="1" min="8" max="10"/>
    <col width="18.69140625" customWidth="1" min="11" max="17"/>
    <col width="27.15234375" bestFit="1" customWidth="1" min="18" max="18"/>
    <col width="24.765625" customWidth="1" min="19" max="19"/>
  </cols>
  <sheetData>
    <row r="1" ht="18.45" customHeight="1">
      <c r="A1" s="10" t="inlineStr">
        <is>
          <t>Actual Strategy Trades</t>
        </is>
      </c>
    </row>
    <row r="3">
      <c r="A3" s="2" t="inlineStr">
        <is>
          <t>Date</t>
        </is>
      </c>
      <c r="B3" s="2" t="inlineStr">
        <is>
          <t>Ticker</t>
        </is>
      </c>
      <c r="C3" s="2" t="inlineStr">
        <is>
          <t>Level</t>
        </is>
      </c>
      <c r="D3" s="2" t="inlineStr">
        <is>
          <t>Side</t>
        </is>
      </c>
      <c r="E3" s="2" t="inlineStr">
        <is>
          <t>Quantity</t>
        </is>
      </c>
      <c r="F3" s="2" t="inlineStr">
        <is>
          <t>Price</t>
        </is>
      </c>
      <c r="G3" s="2" t="inlineStr">
        <is>
          <t>Fee</t>
        </is>
      </c>
      <c r="H3" s="2" t="inlineStr">
        <is>
          <t>Signed Qty</t>
        </is>
      </c>
      <c r="I3" s="2" t="inlineStr">
        <is>
          <t>Gross Value</t>
        </is>
      </c>
      <c r="J3" s="2" t="inlineStr">
        <is>
          <t>Cash Impact</t>
        </is>
      </c>
      <c r="K3" s="2" t="inlineStr">
        <is>
          <t>Position Before</t>
        </is>
      </c>
      <c r="L3" s="2" t="inlineStr">
        <is>
          <t>Cost Basis Before</t>
        </is>
      </c>
      <c r="M3" s="2" t="inlineStr">
        <is>
          <t>Avg Cost Before</t>
        </is>
      </c>
      <c r="N3" s="2" t="inlineStr">
        <is>
          <t>Realized PnL</t>
        </is>
      </c>
      <c r="O3" s="2" t="inlineStr">
        <is>
          <t>Cost Basis After</t>
        </is>
      </c>
      <c r="P3" s="2" t="inlineStr">
        <is>
          <t>Position After</t>
        </is>
      </c>
      <c r="Q3" s="2" t="inlineStr">
        <is>
          <t>Avg Cost After</t>
        </is>
      </c>
      <c r="R3" s="2" t="inlineStr">
        <is>
          <t>Notes</t>
        </is>
      </c>
      <c r="S3" s="2" t="inlineStr">
        <is>
          <t>Flag</t>
        </is>
      </c>
    </row>
    <row r="4">
      <c r="A4" s="7" t="n">
        <v>46037</v>
      </c>
      <c r="B4" s="3" t="inlineStr">
        <is>
          <t>SPY</t>
        </is>
      </c>
      <c r="C4" s="3" t="inlineStr">
        <is>
          <t>L1</t>
        </is>
      </c>
      <c r="D4" s="3" t="inlineStr">
        <is>
          <t>Buy</t>
        </is>
      </c>
      <c r="E4" s="3" t="n">
        <v>2.00482</v>
      </c>
      <c r="F4" s="3" t="n">
        <v>574.5</v>
      </c>
      <c r="G4" s="3" t="n"/>
      <c r="H4">
        <f>IF(OR(D4="",E4=""),"",IF(D4="BUY",E4,-E4))</f>
        <v/>
      </c>
      <c r="I4" s="4">
        <f>IF(H4="","",ABS(H4)*F4)</f>
        <v/>
      </c>
      <c r="J4" s="4">
        <f>IF(H4="","",-H4*F4-G4)</f>
        <v/>
      </c>
      <c r="K4" s="5">
        <f>IF(OR(B4="",C4=""),"",0)</f>
        <v/>
      </c>
      <c r="L4" s="4">
        <f>IF(OR(B4="",C4=""),"",0)</f>
        <v/>
      </c>
      <c r="M4" s="4">
        <f>IF(K4=0,0,L4/K4)</f>
        <v/>
      </c>
      <c r="N4" s="4">
        <f>IF(H4&lt;0,ABS(H4)*(F4-M4)-G4,0)</f>
        <v/>
      </c>
      <c r="O4" s="4">
        <f>IF(H4="","",IF(H4&gt;0,L4+I4+G4,MAX(0,L4-ABS(H4)*M4)))</f>
        <v/>
      </c>
      <c r="P4" s="5">
        <f>IF(H4="","",K4+H4)</f>
        <v/>
      </c>
      <c r="Q4" s="4">
        <f>IF(P4=0,0,O4/P4)</f>
        <v/>
      </c>
      <c r="R4" s="3" t="inlineStr">
        <is>
          <t>初始持仓</t>
        </is>
      </c>
      <c r="S4">
        <f>IF(H4="","",IF(P4&lt;0,"ERROR: Over-sold",IF(AND(H4&lt;0,K4=0),"ERROR: Sell w/o position","")))</f>
        <v/>
      </c>
    </row>
    <row r="5">
      <c r="A5" s="7" t="n">
        <v>46037</v>
      </c>
      <c r="B5" s="3" t="inlineStr">
        <is>
          <t>SOXX</t>
        </is>
      </c>
      <c r="C5" s="3" t="inlineStr">
        <is>
          <t>L1</t>
        </is>
      </c>
      <c r="D5" s="3" t="inlineStr">
        <is>
          <t>Buy</t>
        </is>
      </c>
      <c r="E5" s="3" t="n">
        <v>31</v>
      </c>
      <c r="F5" s="3" t="n">
        <v>321.72</v>
      </c>
      <c r="G5" s="3" t="n"/>
      <c r="H5">
        <f>IF(OR(D5="",E5=""),"",IF(D5="BUY",E5,-E5))</f>
        <v/>
      </c>
      <c r="I5" s="4">
        <f>IF(H5="","",ABS(H5)*F5)</f>
        <v/>
      </c>
      <c r="J5" s="4">
        <f>IF(H5="","",-H5*F5-G5)</f>
        <v/>
      </c>
      <c r="K5" s="5">
        <f>IF(OR(B5="",C5=""),"",SUMIFS($H$4:H4,$B$4:B4,B5,$C$4:C4,C5))</f>
        <v/>
      </c>
      <c r="L5" s="4">
        <f>IF(OR(B5="",C5=""),"",IFERROR(LOOKUP(2,1/(($B$4:B4=B5)*($C$4:C4=C5)),$O$4:O4),0))</f>
        <v/>
      </c>
      <c r="M5" s="4">
        <f>IF(K5=0,0,L5/K5)</f>
        <v/>
      </c>
      <c r="N5" s="4">
        <f>IF(H5&lt;0,ABS(H5)*(F5-M5)-G5,0)</f>
        <v/>
      </c>
      <c r="O5" s="4">
        <f>IF(H5="","",IF(H5&gt;0,L5+I5+G5,MAX(0,L5-ABS(H5)*M5)))</f>
        <v/>
      </c>
      <c r="P5" s="5">
        <f>IF(H5="","",K5+H5)</f>
        <v/>
      </c>
      <c r="Q5" s="4">
        <f>IF(P5=0,0,O5/P5)</f>
        <v/>
      </c>
      <c r="R5" s="3" t="inlineStr">
        <is>
          <t>初始持仓</t>
        </is>
      </c>
      <c r="S5">
        <f>IF(H5="","",IF(P5&lt;0,"ERROR: Over-sold",IF(AND(H5&lt;0,K5=0),"ERROR: Sell w/o position","")))</f>
        <v/>
      </c>
    </row>
    <row r="6">
      <c r="A6" s="7" t="n">
        <v>46038</v>
      </c>
      <c r="B6" s="3" t="inlineStr">
        <is>
          <t>JEPQ</t>
        </is>
      </c>
      <c r="C6" s="3" t="inlineStr">
        <is>
          <t>L0+</t>
        </is>
      </c>
      <c r="D6" s="3" t="inlineStr">
        <is>
          <t>BUY</t>
        </is>
      </c>
      <c r="E6" s="3" t="n">
        <v>1151</v>
      </c>
      <c r="F6" s="3" t="n">
        <v>59.15</v>
      </c>
      <c r="G6" s="3" t="n">
        <v>14.25</v>
      </c>
      <c r="H6">
        <f>IF(OR(D6="",E6=""),"",IF(D6="BUY",E6,-E6))</f>
        <v/>
      </c>
      <c r="I6" s="4">
        <f>IF(H6="","",ABS(H6)*F6)</f>
        <v/>
      </c>
      <c r="J6" s="4">
        <f>IF(H6="","",-H6*F6-G6)</f>
        <v/>
      </c>
      <c r="K6" s="5">
        <f>IF(OR(B6="",C6=""),"",SUMIFS($H$4:H5,$B$4:B5,B6,$C$4:C5,C6))</f>
        <v/>
      </c>
      <c r="L6" s="4">
        <f>IF(OR(B6="",C6=""),"",IFERROR(LOOKUP(2,1/(($B$4:B5=B6)*($C$4:C5=C6)),$O$4:O5),0))</f>
        <v/>
      </c>
      <c r="M6" s="4">
        <f>IF(K6=0,0,L6/K6)</f>
        <v/>
      </c>
      <c r="N6" s="4">
        <f>IF(H6&lt;0,ABS(H6)*(F6-M6)-G6,0)</f>
        <v/>
      </c>
      <c r="O6" s="4">
        <f>IF(H6="","",IF(H6&gt;0,L6+I6+G6,MAX(0,L6-ABS(H6)*M6)))</f>
        <v/>
      </c>
      <c r="P6" s="5">
        <f>IF(H6="","",K6+H6)</f>
        <v/>
      </c>
      <c r="Q6" s="4">
        <f>IF(P6=0,0,O6/P6)</f>
        <v/>
      </c>
      <c r="R6" s="3" t="n"/>
      <c r="S6">
        <f>IF(H6="","",IF(P6&lt;0,"ERROR: Over-sold",IF(AND(H6&lt;0,K6=0),"ERROR: Sell w/o position","")))</f>
        <v/>
      </c>
    </row>
    <row r="7">
      <c r="A7" s="7" t="n">
        <v>46038</v>
      </c>
      <c r="B7" s="3" t="inlineStr">
        <is>
          <t>JEPQ</t>
        </is>
      </c>
      <c r="C7" s="3" t="inlineStr">
        <is>
          <t>L0+</t>
        </is>
      </c>
      <c r="D7" s="3" t="inlineStr">
        <is>
          <t>BUY</t>
        </is>
      </c>
      <c r="E7" s="3" t="n">
        <v>50</v>
      </c>
      <c r="F7" s="3" t="n">
        <v>59.14</v>
      </c>
      <c r="G7" s="3" t="n"/>
      <c r="H7">
        <f>IF(OR(D7="",E7=""),"",IF(D7="BUY",E7,-E7))</f>
        <v/>
      </c>
      <c r="I7" s="4">
        <f>IF(H7="","",ABS(H7)*F7)</f>
        <v/>
      </c>
      <c r="J7" s="4">
        <f>IF(H7="","",-H7*F7-G7)</f>
        <v/>
      </c>
      <c r="K7" s="5">
        <f>IF(OR(B7="",C7=""),"",SUMIFS($H$4:H6,$B$4:B6,B7,$C$4:C6,C7))</f>
        <v/>
      </c>
      <c r="L7" s="4">
        <f>IF(OR(B7="",C7=""),"",IFERROR(LOOKUP(2,1/(($B$4:B6=B7)*($C$4:C6=C7)),$O$4:O6),0))</f>
        <v/>
      </c>
      <c r="M7" s="4">
        <f>IF(K7=0,0,L7/K7)</f>
        <v/>
      </c>
      <c r="N7" s="4">
        <f>IF(H7&lt;0,ABS(H7)*(F7-M7)-G7,0)</f>
        <v/>
      </c>
      <c r="O7" s="4">
        <f>IF(H7="","",IF(H7&gt;0,L7+I7+G7,MAX(0,L7-ABS(H7)*M7)))</f>
        <v/>
      </c>
      <c r="P7" s="5">
        <f>IF(H7="","",K7+H7)</f>
        <v/>
      </c>
      <c r="Q7" s="4">
        <f>IF(P7=0,0,O7/P7)</f>
        <v/>
      </c>
      <c r="R7" s="3" t="n"/>
      <c r="S7">
        <f>IF(H7="","",IF(P7&lt;0,"ERROR: Over-sold",IF(AND(H7&lt;0,K7=0),"ERROR: Sell w/o position","")))</f>
        <v/>
      </c>
    </row>
    <row r="8">
      <c r="A8" s="7" t="n">
        <v>46038</v>
      </c>
      <c r="B8" s="3" t="inlineStr">
        <is>
          <t>JEPQ</t>
        </is>
      </c>
      <c r="C8" s="3" t="inlineStr">
        <is>
          <t>L0+</t>
        </is>
      </c>
      <c r="D8" s="3" t="inlineStr">
        <is>
          <t>SELL</t>
        </is>
      </c>
      <c r="E8" s="3" t="n">
        <v>152</v>
      </c>
      <c r="F8" s="3" t="n">
        <v>59.12</v>
      </c>
      <c r="G8" s="3" t="n">
        <v>2.58</v>
      </c>
      <c r="H8">
        <f>IF(OR(D8="",E8=""),"",IF(D8="BUY",E8,-E8))</f>
        <v/>
      </c>
      <c r="I8" s="4">
        <f>IF(H8="","",ABS(H8)*F8)</f>
        <v/>
      </c>
      <c r="J8" s="4">
        <f>IF(H8="","",-H8*F8-G8)</f>
        <v/>
      </c>
      <c r="K8" s="5">
        <f>IF(OR(B8="",C8=""),"",SUMIFS($H$4:H7,$B$4:B7,B8,$C$4:C7,C8))</f>
        <v/>
      </c>
      <c r="L8" s="4">
        <f>IF(OR(B8="",C8=""),"",IFERROR(LOOKUP(2,1/(($B$4:B7=B8)*($C$4:C7=C8)),$O$4:O7),0))</f>
        <v/>
      </c>
      <c r="M8" s="4">
        <f>IF(K8=0,0,L8/K8)</f>
        <v/>
      </c>
      <c r="N8" s="4">
        <f>IF(H8&lt;0,ABS(H8)*(F8-M8)-G8,0)</f>
        <v/>
      </c>
      <c r="O8" s="4">
        <f>IF(H8="","",IF(H8&gt;0,L8+I8+G8,MAX(0,L8-ABS(H8)*M8)))</f>
        <v/>
      </c>
      <c r="P8" s="5">
        <f>IF(H8="","",K8+H8)</f>
        <v/>
      </c>
      <c r="Q8" s="4">
        <f>IF(P8=0,0,O8/P8)</f>
        <v/>
      </c>
      <c r="R8" s="3" t="inlineStr">
        <is>
          <t>持仓比例超出，立刻卖出</t>
        </is>
      </c>
      <c r="S8">
        <f>IF(H8="","",IF(P8&lt;0,"ERROR: Over-sold",IF(AND(H8&lt;0,K8=0),"ERROR: Sell w/o position","")))</f>
        <v/>
      </c>
    </row>
    <row r="9">
      <c r="A9" s="7" t="n">
        <v>46038</v>
      </c>
      <c r="B9" s="3" t="inlineStr">
        <is>
          <t>SPY</t>
        </is>
      </c>
      <c r="C9" s="3" t="inlineStr">
        <is>
          <t>L1</t>
        </is>
      </c>
      <c r="D9" s="3" t="inlineStr">
        <is>
          <t>BUY</t>
        </is>
      </c>
      <c r="E9" s="3" t="n">
        <v>13</v>
      </c>
      <c r="F9" s="3" t="n">
        <v>693.7</v>
      </c>
      <c r="G9" s="3" t="n">
        <v>2.04</v>
      </c>
      <c r="H9">
        <f>IF(OR(D9="",E9=""),"",IF(D9="BUY",E9,-E9))</f>
        <v/>
      </c>
      <c r="I9" s="4">
        <f>IF(H9="","",ABS(H9)*F9)</f>
        <v/>
      </c>
      <c r="J9" s="4">
        <f>IF(H9="","",-H9*F9-G9)</f>
        <v/>
      </c>
      <c r="K9" s="5">
        <f>IF(OR(B9="",C9=""),"",SUMIFS($H$4:H8,$B$4:B8,B9,$C$4:C8,C9))</f>
        <v/>
      </c>
      <c r="L9" s="4">
        <f>IF(OR(B9="",C9=""),"",IFERROR(LOOKUP(2,1/(($B$4:B8=B9)*($C$4:C8=C9)),$O$4:O8),0))</f>
        <v/>
      </c>
      <c r="M9" s="4">
        <f>IF(K9=0,0,L9/K9)</f>
        <v/>
      </c>
      <c r="N9" s="4">
        <f>IF(H9&lt;0,ABS(H9)*(F9-M9)-G9,0)</f>
        <v/>
      </c>
      <c r="O9" s="4">
        <f>IF(H9="","",IF(H9&gt;0,L9+I9+G9,MAX(0,L9-ABS(H9)*M9)))</f>
        <v/>
      </c>
      <c r="P9" s="5">
        <f>IF(H9="","",K9+H9)</f>
        <v/>
      </c>
      <c r="Q9" s="4">
        <f>IF(P9=0,0,O9/P9)</f>
        <v/>
      </c>
      <c r="R9" s="3" t="n"/>
      <c r="S9">
        <f>IF(H9="","",IF(P9&lt;0,"ERROR: Over-sold",IF(AND(H9&lt;0,K9=0),"ERROR: Sell w/o position","")))</f>
        <v/>
      </c>
    </row>
    <row r="10">
      <c r="A10" s="7" t="n">
        <v>46042</v>
      </c>
      <c r="B10" s="3" t="inlineStr">
        <is>
          <t>JEPQ</t>
        </is>
      </c>
      <c r="C10" s="3" t="inlineStr">
        <is>
          <t>L0+</t>
        </is>
      </c>
      <c r="D10" s="3" t="inlineStr">
        <is>
          <t>BUY</t>
        </is>
      </c>
      <c r="E10" s="3" t="n">
        <v>94</v>
      </c>
      <c r="F10" s="3" t="n">
        <v>58.7</v>
      </c>
      <c r="G10" s="3" t="n">
        <v>2.36</v>
      </c>
      <c r="H10">
        <f>IF(OR(D10="",E10=""),"",IF(D10="BUY",E10,-E10))</f>
        <v/>
      </c>
      <c r="I10" s="4">
        <f>IF(H10="","",ABS(H10)*F10)</f>
        <v/>
      </c>
      <c r="J10" s="4">
        <f>IF(H10="","",-H10*F10-G10)</f>
        <v/>
      </c>
      <c r="K10" s="5">
        <f>IF(OR(B10="",C10=""),"",SUMIFS($H$4:H9,$B$4:B9,B10,$C$4:C9,C10))</f>
        <v/>
      </c>
      <c r="L10" s="4">
        <f>IF(OR(B10="",C10=""),"",IFERROR(LOOKUP(2,1/(($B$4:B9=B10)*($C$4:C9=C10)),$O$4:O9),0))</f>
        <v/>
      </c>
      <c r="M10" s="4">
        <f>IF(K10=0,0,L10/K10)</f>
        <v/>
      </c>
      <c r="N10" s="4">
        <f>IF(H10&lt;0,ABS(H10)*(F10-M10)-G10,0)</f>
        <v/>
      </c>
      <c r="O10" s="4">
        <f>IF(H10="","",IF(H10&gt;0,L10+I10+G10,MAX(0,L10-ABS(H10)*M10)))</f>
        <v/>
      </c>
      <c r="P10" s="5">
        <f>IF(H10="","",K10+H10)</f>
        <v/>
      </c>
      <c r="Q10" s="4">
        <f>IF(P10=0,0,O10/P10)</f>
        <v/>
      </c>
      <c r="R10" s="3" t="n"/>
      <c r="S10">
        <f>IF(H10="","",IF(P10&lt;0,"ERROR: Over-sold",IF(AND(H10&lt;0,K10=0),"ERROR: Sell w/o position","")))</f>
        <v/>
      </c>
    </row>
    <row r="11">
      <c r="A11" s="7" t="n">
        <v>46043</v>
      </c>
      <c r="B11" s="3" t="inlineStr">
        <is>
          <t>SPY</t>
        </is>
      </c>
      <c r="C11" s="3" t="inlineStr">
        <is>
          <t>L1</t>
        </is>
      </c>
      <c r="D11" s="3" t="inlineStr">
        <is>
          <t>SELL</t>
        </is>
      </c>
      <c r="E11" s="3" t="n">
        <v>15.00482</v>
      </c>
      <c r="F11" s="3" t="n">
        <v>682.59</v>
      </c>
      <c r="G11" s="3" t="n">
        <v>2.05</v>
      </c>
      <c r="H11">
        <f>IF(OR(D11="",E11=""),"",IF(D11="BUY",E11,-E11))</f>
        <v/>
      </c>
      <c r="I11" s="4">
        <f>IF(H11="","",ABS(H11)*F11)</f>
        <v/>
      </c>
      <c r="J11" s="4">
        <f>IF(H11="","",-H11*F11-G11)</f>
        <v/>
      </c>
      <c r="K11" s="5">
        <f>IF(OR(B11="",C11=""),"",SUMIFS($H$4:H10,$B$4:B10,B11,$C$4:C10,C11))</f>
        <v/>
      </c>
      <c r="L11" s="4">
        <f>IF(OR(B11="",C11=""),"",IFERROR(LOOKUP(2,1/(($B$4:B10=B11)*($C$4:C10=C11)),$O$4:O10),0))</f>
        <v/>
      </c>
      <c r="M11" s="4">
        <f>IF(K11=0,0,L11/K11)</f>
        <v/>
      </c>
      <c r="N11" s="4">
        <f>IF(H11&lt;0,ABS(H11)*(F11-M11)-G11,0)</f>
        <v/>
      </c>
      <c r="O11" s="4">
        <f>IF(H11="","",IF(H11&gt;0,L11+I11+G11,MAX(0,L11-ABS(H11)*M11)))</f>
        <v/>
      </c>
      <c r="P11" s="5">
        <f>IF(H11="","",K11+H11)</f>
        <v/>
      </c>
      <c r="Q11" s="4">
        <f>IF(P11=0,0,O11/P11)</f>
        <v/>
      </c>
      <c r="R11" s="3" t="n"/>
      <c r="S11">
        <f>IF(H11="","",IF(P11&lt;0,"ERROR: Over-sold",IF(AND(H11&lt;0,K11=0),"ERROR: Sell w/o position","")))</f>
        <v/>
      </c>
    </row>
    <row r="12">
      <c r="A12" s="7" t="n">
        <v>46045</v>
      </c>
      <c r="B12" s="3" t="inlineStr">
        <is>
          <t>JEPQ</t>
        </is>
      </c>
      <c r="C12" s="3" t="inlineStr">
        <is>
          <t>L0+</t>
        </is>
      </c>
      <c r="D12" s="3" t="inlineStr">
        <is>
          <t>BUY</t>
        </is>
      </c>
      <c r="E12" s="3" t="n">
        <v>245</v>
      </c>
      <c r="F12" s="3" t="n">
        <v>58.94</v>
      </c>
      <c r="G12" s="3" t="n">
        <v>2.95</v>
      </c>
      <c r="H12">
        <f>IF(OR(D12="",E12=""),"",IF(D12="BUY",E12,-E12))</f>
        <v/>
      </c>
      <c r="I12" s="4">
        <f>IF(H12="","",ABS(H12)*F12)</f>
        <v/>
      </c>
      <c r="J12" s="4">
        <f>IF(H12="","",-H12*F12-G12)</f>
        <v/>
      </c>
      <c r="K12" s="5">
        <f>IF(OR(B12="",C12=""),"",SUMIFS($H$4:H11,$B$4:B11,B12,$C$4:C11,C12))</f>
        <v/>
      </c>
      <c r="L12" s="4">
        <f>IF(OR(B12="",C12=""),"",IFERROR(LOOKUP(2,1/(($B$4:B11=B12)*($C$4:C11=C12)),$O$4:O11),0))</f>
        <v/>
      </c>
      <c r="M12" s="4">
        <f>IF(K12=0,0,L12/K12)</f>
        <v/>
      </c>
      <c r="N12" s="4">
        <f>IF(H12&lt;0,ABS(H12)*(F12-M12)-G12,0)</f>
        <v/>
      </c>
      <c r="O12" s="4">
        <f>IF(H12="","",IF(H12&gt;0,L12+I12+G12,MAX(0,L12-ABS(H12)*M12)))</f>
        <v/>
      </c>
      <c r="P12" s="5">
        <f>IF(H12="","",K12+H12)</f>
        <v/>
      </c>
      <c r="Q12" s="4">
        <f>IF(P12=0,0,O12/P12)</f>
        <v/>
      </c>
      <c r="R12" s="3" t="n"/>
      <c r="S12">
        <f>IF(H12="","",IF(P12&lt;0,"ERROR: Over-sold",IF(AND(H12&lt;0,K12=0),"ERROR: Sell w/o position","")))</f>
        <v/>
      </c>
    </row>
    <row r="13">
      <c r="A13" s="7" t="n">
        <v>46045</v>
      </c>
      <c r="B13" s="3" t="inlineStr">
        <is>
          <t>JEPQ</t>
        </is>
      </c>
      <c r="C13" s="3" t="inlineStr">
        <is>
          <t>L0+</t>
        </is>
      </c>
      <c r="D13" s="3" t="inlineStr">
        <is>
          <t>SELL</t>
        </is>
      </c>
      <c r="E13" s="3" t="n">
        <v>728</v>
      </c>
      <c r="F13" s="3" t="n">
        <v>59.33</v>
      </c>
      <c r="G13" s="3" t="n">
        <v>8.630000000000001</v>
      </c>
      <c r="H13">
        <f>IF(OR(D13="",E13=""),"",IF(D13="BUY",E13,-E13))</f>
        <v/>
      </c>
      <c r="I13" s="4">
        <f>IF(H13="","",ABS(H13)*F13)</f>
        <v/>
      </c>
      <c r="J13" s="4">
        <f>IF(H13="","",-H13*F13-G13)</f>
        <v/>
      </c>
      <c r="K13" s="5">
        <f>IF(OR(B13="",C13=""),"",SUMIFS($H$4:H12,$B$4:B12,B13,$C$4:C12,C13))</f>
        <v/>
      </c>
      <c r="L13" s="4">
        <f>IF(OR(B13="",C13=""),"",IFERROR(LOOKUP(2,1/(($B$4:B12=B13)*($C$4:C12=C13)),$O$4:O12),0))</f>
        <v/>
      </c>
      <c r="M13" s="4">
        <f>IF(K13=0,0,L13/K13)</f>
        <v/>
      </c>
      <c r="N13" s="4">
        <f>IF(H13&lt;0,ABS(H13)*(F13-M13)-G13,0)</f>
        <v/>
      </c>
      <c r="O13" s="4">
        <f>IF(H13="","",IF(H13&gt;0,L13+I13+G13,MAX(0,L13-ABS(H13)*M13)))</f>
        <v/>
      </c>
      <c r="P13" s="5">
        <f>IF(H13="","",K13+H13)</f>
        <v/>
      </c>
      <c r="Q13" s="4">
        <f>IF(P13=0,0,O13/P13)</f>
        <v/>
      </c>
      <c r="R13" s="3" t="inlineStr">
        <is>
          <t>调整持仓比例</t>
        </is>
      </c>
      <c r="S13">
        <f>IF(H13="","",IF(P13&lt;0,"ERROR: Over-sold",IF(AND(H13&lt;0,K13=0),"ERROR: Sell w/o position","")))</f>
        <v/>
      </c>
    </row>
    <row r="14">
      <c r="A14" s="7" t="n">
        <v>46045</v>
      </c>
      <c r="B14" s="3" t="inlineStr">
        <is>
          <t>QUAL</t>
        </is>
      </c>
      <c r="C14" s="3" t="inlineStr">
        <is>
          <t>L0+</t>
        </is>
      </c>
      <c r="D14" s="3" t="inlineStr">
        <is>
          <t>BUY</t>
        </is>
      </c>
      <c r="E14" s="3" t="n">
        <v>128</v>
      </c>
      <c r="F14" s="3" t="n">
        <v>203.14</v>
      </c>
      <c r="G14" s="3" t="n">
        <v>2.49</v>
      </c>
      <c r="H14">
        <f>IF(OR(D14="",E14=""),"",IF(D14="BUY",E14,-E14))</f>
        <v/>
      </c>
      <c r="I14" s="4">
        <f>IF(H14="","",ABS(H14)*F14)</f>
        <v/>
      </c>
      <c r="J14" s="4">
        <f>IF(H14="","",-H14*F14-G14)</f>
        <v/>
      </c>
      <c r="K14" s="5">
        <f>IF(OR(B14="",C14=""),"",SUMIFS($H$4:H13,$B$4:B13,B14,$C$4:C13,C14))</f>
        <v/>
      </c>
      <c r="L14" s="4">
        <f>IF(OR(B14="",C14=""),"",IFERROR(LOOKUP(2,1/(($B$4:B13=B14)*($C$4:C13=C14)),$O$4:O13),0))</f>
        <v/>
      </c>
      <c r="M14" s="4">
        <f>IF(K14=0,0,L14/K14)</f>
        <v/>
      </c>
      <c r="N14" s="4">
        <f>IF(H14&lt;0,ABS(H14)*(F14-M14)-G14,0)</f>
        <v/>
      </c>
      <c r="O14" s="4">
        <f>IF(H14="","",IF(H14&gt;0,L14+I14+G14,MAX(0,L14-ABS(H14)*M14)))</f>
        <v/>
      </c>
      <c r="P14" s="5">
        <f>IF(H14="","",K14+H14)</f>
        <v/>
      </c>
      <c r="Q14" s="4">
        <f>IF(P14=0,0,O14/P14)</f>
        <v/>
      </c>
      <c r="R14" s="3" t="n"/>
      <c r="S14">
        <f>IF(H14="","",IF(P14&lt;0,"ERROR: Over-sold",IF(AND(H14&lt;0,K14=0),"ERROR: Sell w/o position","")))</f>
        <v/>
      </c>
    </row>
    <row r="15">
      <c r="A15" s="7" t="n">
        <v>46050</v>
      </c>
      <c r="B15" s="3" t="inlineStr">
        <is>
          <t>QQQ</t>
        </is>
      </c>
      <c r="C15" s="3" t="inlineStr">
        <is>
          <t>L1</t>
        </is>
      </c>
      <c r="D15" s="3" t="inlineStr">
        <is>
          <t>BUY</t>
        </is>
      </c>
      <c r="E15" s="3" t="n">
        <v>15</v>
      </c>
      <c r="F15" s="3" t="n">
        <v>635.88</v>
      </c>
      <c r="G15" s="3" t="n">
        <v>2.05</v>
      </c>
      <c r="H15">
        <f>IF(OR(D15="",E15=""),"",IF(D15="BUY",E15,-E15))</f>
        <v/>
      </c>
      <c r="I15" s="4">
        <f>IF(H15="","",ABS(H15)*F15)</f>
        <v/>
      </c>
      <c r="J15" s="4">
        <f>IF(H15="","",-H15*F15-G15)</f>
        <v/>
      </c>
      <c r="K15" s="5">
        <f>IF(OR(B15="",C15=""),"",SUMIFS($H$4:H14,$B$4:B14,B15,$C$4:C14,C15))</f>
        <v/>
      </c>
      <c r="L15" s="4">
        <f>IF(OR(B15="",C15=""),"",IFERROR(LOOKUP(2,1/(($B$4:B14=B15)*($C$4:C14=C15)),$O$4:O14),0))</f>
        <v/>
      </c>
      <c r="M15" s="4">
        <f>IF(K15=0,0,L15/K15)</f>
        <v/>
      </c>
      <c r="N15" s="4">
        <f>IF(H15&lt;0,ABS(H15)*(F15-M15)-G15,0)</f>
        <v/>
      </c>
      <c r="O15" s="4">
        <f>IF(H15="","",IF(H15&gt;0,L15+I15+G15,MAX(0,L15-ABS(H15)*M15)))</f>
        <v/>
      </c>
      <c r="P15" s="5">
        <f>IF(H15="","",K15+H15)</f>
        <v/>
      </c>
      <c r="Q15" s="4">
        <f>IF(P15=0,0,O15/P15)</f>
        <v/>
      </c>
      <c r="R15" s="3" t="n"/>
      <c r="S15">
        <f>IF(H15="","",IF(P15&lt;0,"ERROR: Over-sold",IF(AND(H15&lt;0,K15=0),"ERROR: Sell w/o position","")))</f>
        <v/>
      </c>
    </row>
    <row r="16">
      <c r="A16" s="7" t="n">
        <v>46059</v>
      </c>
      <c r="B16" s="3" t="inlineStr">
        <is>
          <t>QQQ</t>
        </is>
      </c>
      <c r="C16" s="3" t="inlineStr">
        <is>
          <t>L1</t>
        </is>
      </c>
      <c r="D16" s="3" t="inlineStr">
        <is>
          <t>SELL</t>
        </is>
      </c>
      <c r="E16" s="3" t="n">
        <v>15</v>
      </c>
      <c r="F16" s="3" t="n">
        <v>599.3</v>
      </c>
      <c r="G16" s="3" t="n">
        <v>2.05</v>
      </c>
      <c r="H16">
        <f>IF(OR(D16="",E16=""),"",IF(D16="BUY",E16,-E16))</f>
        <v/>
      </c>
      <c r="I16" s="4">
        <f>IF(H16="","",ABS(H16)*F16)</f>
        <v/>
      </c>
      <c r="J16" s="4">
        <f>IF(H16="","",-H16*F16-G16)</f>
        <v/>
      </c>
      <c r="K16" s="5">
        <f>IF(OR(B16="",C16=""),"",SUMIFS($H$4:H15,$B$4:B15,B16,$C$4:C15,C16))</f>
        <v/>
      </c>
      <c r="L16" s="4">
        <f>IF(OR(B16="",C16=""),"",IFERROR(LOOKUP(2,1/(($B$4:B15=B16)*($C$4:C15=C16)),$O$4:O15),0))</f>
        <v/>
      </c>
      <c r="M16" s="4">
        <f>IF(K16=0,0,L16/K16)</f>
        <v/>
      </c>
      <c r="N16" s="4">
        <f>IF(H16&lt;0,ABS(H16)*(F16-M16)-G16,0)</f>
        <v/>
      </c>
      <c r="O16" s="4">
        <f>IF(H16="","",IF(H16&gt;0,L16+I16+G16,MAX(0,L16-ABS(H16)*M16)))</f>
        <v/>
      </c>
      <c r="P16" s="5">
        <f>IF(H16="","",K16+H16)</f>
        <v/>
      </c>
      <c r="Q16" s="4">
        <f>IF(P16=0,0,O16/P16)</f>
        <v/>
      </c>
      <c r="R16" s="3" t="n"/>
      <c r="S16">
        <f>IF(H16="","",IF(P16&lt;0,"ERROR: Over-sold",IF(AND(H16&lt;0,K16=0),"ERROR: Sell w/o position","")))</f>
        <v/>
      </c>
    </row>
    <row r="17">
      <c r="A17" s="7" t="n">
        <v>46059</v>
      </c>
      <c r="B17" s="3" t="inlineStr">
        <is>
          <t>SOXX</t>
        </is>
      </c>
      <c r="C17" s="3" t="inlineStr">
        <is>
          <t>L1</t>
        </is>
      </c>
      <c r="D17" s="3" t="inlineStr">
        <is>
          <t>SELL</t>
        </is>
      </c>
      <c r="E17" s="3" t="n">
        <v>31</v>
      </c>
      <c r="F17" s="3" t="n">
        <v>336.55</v>
      </c>
      <c r="G17" s="3" t="n">
        <v>2.11</v>
      </c>
      <c r="H17">
        <f>IF(OR(D17="",E17=""),"",IF(D17="BUY",E17,-E17))</f>
        <v/>
      </c>
      <c r="I17" s="4">
        <f>IF(H17="","",ABS(H17)*F17)</f>
        <v/>
      </c>
      <c r="J17" s="4">
        <f>IF(H17="","",-H17*F17-G17)</f>
        <v/>
      </c>
      <c r="K17" s="5">
        <f>IF(OR(B17="",C17=""),"",SUMIFS($H$4:H16,$B$4:B16,B17,$C$4:C16,C17))</f>
        <v/>
      </c>
      <c r="L17" s="4">
        <f>IF(OR(B17="",C17=""),"",IFERROR(LOOKUP(2,1/(($B$4:B16=B17)*($C$4:C16=C17)),$O$4:O16),0))</f>
        <v/>
      </c>
      <c r="M17" s="4">
        <f>IF(K17=0,0,L17/K17)</f>
        <v/>
      </c>
      <c r="N17" s="4">
        <f>IF(H17&lt;0,ABS(H17)*(F17-M17)-G17,0)</f>
        <v/>
      </c>
      <c r="O17" s="4">
        <f>IF(H17="","",IF(H17&gt;0,L17+I17+G17,MAX(0,L17-ABS(H17)*M17)))</f>
        <v/>
      </c>
      <c r="P17" s="5">
        <f>IF(H17="","",K17+H17)</f>
        <v/>
      </c>
      <c r="Q17" s="4">
        <f>IF(P17=0,0,O17/P17)</f>
        <v/>
      </c>
      <c r="R17" s="3" t="n"/>
      <c r="S17">
        <f>IF(H17="","",IF(P17&lt;0,"ERROR: Over-sold",IF(AND(H17&lt;0,K17=0),"ERROR: Sell w/o position","")))</f>
        <v/>
      </c>
    </row>
    <row r="18">
      <c r="A18" s="7" t="n">
        <v>46060</v>
      </c>
      <c r="B18" s="3" t="inlineStr">
        <is>
          <t>JEPQ</t>
        </is>
      </c>
      <c r="C18" s="3" t="inlineStr">
        <is>
          <t>L0+</t>
        </is>
      </c>
      <c r="D18" s="3" t="inlineStr">
        <is>
          <t>BUY</t>
        </is>
      </c>
      <c r="E18" s="3" t="n">
        <v>4.77541</v>
      </c>
      <c r="F18" s="3" t="n">
        <v>57.93</v>
      </c>
      <c r="G18" s="3" t="n">
        <v>2.01</v>
      </c>
      <c r="H18">
        <f>IF(OR(D18="",E18=""),"",IF(D18="BUY",E18,-E18))</f>
        <v/>
      </c>
      <c r="I18" s="4">
        <f>IF(H18="","",ABS(H18)*F18)</f>
        <v/>
      </c>
      <c r="J18" s="4">
        <f>IF(H18="","",-H18*F18-G18)</f>
        <v/>
      </c>
      <c r="K18" s="5">
        <f>IF(OR(B18="",C18=""),"",SUMIFS($H$4:H17,$B$4:B17,B18,$C$4:C17,C18))</f>
        <v/>
      </c>
      <c r="L18" s="4">
        <f>IF(OR(B18="",C18=""),"",IFERROR(LOOKUP(2,1/(($B$4:B17=B18)*($C$4:C17=C18)),$O$4:O17),0))</f>
        <v/>
      </c>
      <c r="M18" s="4">
        <f>IF(K18=0,0,L18/K18)</f>
        <v/>
      </c>
      <c r="N18" s="4">
        <f>IF(H18&lt;0,ABS(H18)*(F18-M18)-G18,0)</f>
        <v/>
      </c>
      <c r="O18" s="4">
        <f>IF(H18="","",IF(H18&gt;0,L18+I18+G18,MAX(0,L18-ABS(H18)*M18)))</f>
        <v/>
      </c>
      <c r="P18" s="5">
        <f>IF(H18="","",K18+H18)</f>
        <v/>
      </c>
      <c r="Q18" s="4">
        <f>IF(P18=0,0,O18/P18)</f>
        <v/>
      </c>
      <c r="R18" s="3" t="inlineStr">
        <is>
          <t>红利复投</t>
        </is>
      </c>
      <c r="S18">
        <f>IF(H18="","",IF(P18&lt;0,"ERROR: Over-sold",IF(AND(H18&lt;0,K18=0),"ERROR: Sell w/o position","")))</f>
        <v/>
      </c>
    </row>
    <row r="19">
      <c r="A19" s="7" t="n">
        <v>46079</v>
      </c>
      <c r="B19" s="3" t="inlineStr">
        <is>
          <t>SOXX</t>
        </is>
      </c>
      <c r="C19" s="3" t="inlineStr">
        <is>
          <t>L1</t>
        </is>
      </c>
      <c r="D19" s="3" t="inlineStr">
        <is>
          <t>BUY</t>
        </is>
      </c>
      <c r="E19" s="3" t="n">
        <v>28</v>
      </c>
      <c r="F19" s="3" t="n">
        <v>366.88</v>
      </c>
      <c r="G19" s="3" t="n">
        <v>2.1</v>
      </c>
      <c r="H19">
        <f>IF(OR(D19="",E19=""),"",IF(D19="BUY",E19,-E19))</f>
        <v/>
      </c>
      <c r="I19" s="4">
        <f>IF(H19="","",ABS(H19)*F19)</f>
        <v/>
      </c>
      <c r="J19" s="4">
        <f>IF(H19="","",-H19*F19-G19)</f>
        <v/>
      </c>
      <c r="K19" s="5">
        <f>IF(OR(B19="",C19=""),"",SUMIFS($H$4:H18,$B$4:B18,B19,$C$4:C18,C19))</f>
        <v/>
      </c>
      <c r="L19" s="4">
        <f>IF(OR(B19="",C19=""),"",IFERROR(LOOKUP(2,1/(($B$4:B18=B19)*($C$4:C18=C19)),$O$4:O18),0))</f>
        <v/>
      </c>
      <c r="M19" s="4">
        <f>IF(K19=0,0,L19/K19)</f>
        <v/>
      </c>
      <c r="N19" s="4">
        <f>IF(H19&lt;0,ABS(H19)*(F19-M19)-G19,0)</f>
        <v/>
      </c>
      <c r="O19" s="4">
        <f>IF(H19="","",IF(H19&gt;0,L19+I19+G19,MAX(0,L19-ABS(H19)*M19)))</f>
        <v/>
      </c>
      <c r="P19" s="5">
        <f>IF(H19="","",K19+H19)</f>
        <v/>
      </c>
      <c r="Q19" s="4">
        <f>IF(P19=0,0,O19/P19)</f>
        <v/>
      </c>
      <c r="R19" s="3" t="n"/>
      <c r="S19">
        <f>IF(H19="","",IF(P19&lt;0,"ERROR: Over-sold",IF(AND(H19&lt;0,K19=0),"ERROR: Sell w/o position","")))</f>
        <v/>
      </c>
    </row>
    <row r="20">
      <c r="A20" s="7" t="n">
        <v>46085</v>
      </c>
      <c r="B20" s="3" t="inlineStr">
        <is>
          <t>SOXX</t>
        </is>
      </c>
      <c r="C20" s="3" t="inlineStr">
        <is>
          <t>L1</t>
        </is>
      </c>
      <c r="D20" s="3" t="inlineStr">
        <is>
          <t>SELL</t>
        </is>
      </c>
      <c r="E20" s="3" t="n">
        <v>28</v>
      </c>
      <c r="F20" s="3" t="n">
        <v>329.01</v>
      </c>
      <c r="G20" s="3" t="n">
        <v>2.1</v>
      </c>
      <c r="H20">
        <f>IF(OR(D20="",E20=""),"",IF(D20="BUY",E20,-E20))</f>
        <v/>
      </c>
      <c r="I20" s="4">
        <f>IF(H20="","",ABS(H20)*F20)</f>
        <v/>
      </c>
      <c r="J20" s="4">
        <f>IF(H20="","",-H20*F20-G20)</f>
        <v/>
      </c>
      <c r="K20" s="5">
        <f>IF(OR(B20="",C20=""),"",SUMIFS($H$4:H19,$B$4:B19,B20,$C$4:C19,C20))</f>
        <v/>
      </c>
      <c r="L20" s="4">
        <f>IF(OR(B20="",C20=""),"",IFERROR(LOOKUP(2,1/(($B$4:B19=B20)*($C$4:C19=C20)),$O$4:O19),0))</f>
        <v/>
      </c>
      <c r="M20" s="4">
        <f>IF(K20=0,0,L20/K20)</f>
        <v/>
      </c>
      <c r="N20" s="4">
        <f>IF(H20&lt;0,ABS(H20)*(F20-M20)-G20,0)</f>
        <v/>
      </c>
      <c r="O20" s="4">
        <f>IF(H20="","",IF(H20&gt;0,L20+I20+G20,MAX(0,L20-ABS(H20)*M20)))</f>
        <v/>
      </c>
      <c r="P20" s="5">
        <f>IF(H20="","",K20+H20)</f>
        <v/>
      </c>
      <c r="Q20" s="4">
        <f>IF(P20=0,0,O20/P20)</f>
        <v/>
      </c>
      <c r="R20" s="3" t="n"/>
      <c r="S20">
        <f>IF(H20="","",IF(P20&lt;0,"ERROR: Over-sold",IF(AND(H20&lt;0,K20=0),"ERROR: Sell w/o position","")))</f>
        <v/>
      </c>
    </row>
    <row r="21">
      <c r="A21" s="7" t="n">
        <v>46088</v>
      </c>
      <c r="B21" s="3" t="inlineStr">
        <is>
          <t>JEPQ</t>
        </is>
      </c>
      <c r="C21" s="3" t="inlineStr">
        <is>
          <t>L0+</t>
        </is>
      </c>
      <c r="D21" s="3" t="inlineStr">
        <is>
          <t>BUY</t>
        </is>
      </c>
      <c r="E21" s="3" t="n">
        <v>5.32394</v>
      </c>
      <c r="F21" s="3" t="n">
        <v>57.18</v>
      </c>
      <c r="G21" s="3" t="n">
        <v>2.01</v>
      </c>
      <c r="H21">
        <f>IF(OR(D21="",E21=""),"",IF(D21="BUY",E21,-E21))</f>
        <v/>
      </c>
      <c r="I21" s="4">
        <f>IF(H21="","",ABS(H21)*F21)</f>
        <v/>
      </c>
      <c r="J21" s="4">
        <f>IF(H21="","",-H21*F21-G21)</f>
        <v/>
      </c>
      <c r="K21" s="5">
        <f>IF(OR(B21="",C21=""),"",SUMIFS($H$4:H20,$B$4:B20,B21,$C$4:C20,C21))</f>
        <v/>
      </c>
      <c r="L21" s="4">
        <f>IF(OR(B21="",C21=""),"",IFERROR(LOOKUP(2,1/(($B$4:B20=B21)*($C$4:C20=C21)),$O$4:O20),0))</f>
        <v/>
      </c>
      <c r="M21" s="4">
        <f>IF(K21=0,0,L21/K21)</f>
        <v/>
      </c>
      <c r="N21" s="4">
        <f>IF(H21&lt;0,ABS(H21)*(F21-M21)-G21,0)</f>
        <v/>
      </c>
      <c r="O21" s="4">
        <f>IF(H21="","",IF(H21&gt;0,L21+I21+G21,MAX(0,L21-ABS(H21)*M21)))</f>
        <v/>
      </c>
      <c r="P21" s="5">
        <f>IF(H21="","",K21+H21)</f>
        <v/>
      </c>
      <c r="Q21" s="4">
        <f>IF(P21=0,0,O21/P21)</f>
        <v/>
      </c>
      <c r="R21" s="3" t="inlineStr">
        <is>
          <t>红利复投</t>
        </is>
      </c>
    </row>
    <row r="22">
      <c r="A22" s="7" t="n">
        <v>46105</v>
      </c>
      <c r="B22" s="3" t="inlineStr">
        <is>
          <t>QUAL</t>
        </is>
      </c>
      <c r="C22" s="3" t="inlineStr">
        <is>
          <t>L0+</t>
        </is>
      </c>
      <c r="D22" s="3" t="inlineStr">
        <is>
          <t>BUY</t>
        </is>
      </c>
      <c r="E22" s="3" t="n">
        <v>0.24931</v>
      </c>
      <c r="F22" s="3" t="n">
        <v>194.01</v>
      </c>
      <c r="G22" s="3" t="n">
        <v>0.48</v>
      </c>
      <c r="H22">
        <f>IF(OR(D22="",E22=""),"",IF(D22="BUY",E22,-E22))</f>
        <v/>
      </c>
      <c r="I22" s="4">
        <f>IF(H22="","",ABS(H22)*F22)</f>
        <v/>
      </c>
      <c r="J22" s="4">
        <f>IF(H22="","",-H22*F22-G22)</f>
        <v/>
      </c>
      <c r="K22" s="5">
        <f>IF(OR(B22="",C22=""),"",SUMIFS($H$4:H20,$B$4:B20,B22,$C$4:C20,C22))</f>
        <v/>
      </c>
      <c r="L22" s="4">
        <f>IF(OR(B22="",C22=""),"",IFERROR(LOOKUP(2,1/(($B$4:B20=B22)*($C$4:C20=C22)),$O$4:O20),0))</f>
        <v/>
      </c>
      <c r="M22" s="4">
        <f>IF(K22=0,0,L22/K22)</f>
        <v/>
      </c>
      <c r="N22" s="4">
        <f>IF(H22&lt;0,ABS(H22)*(F22-M22)-G22,0)</f>
        <v/>
      </c>
      <c r="O22" s="4">
        <f>IF(H22="","",IF(H22&gt;0,L22+I22+G22,MAX(0,L22-ABS(H22)*M22)))</f>
        <v/>
      </c>
      <c r="P22" s="5">
        <f>IF(H22="","",K22+H22)</f>
        <v/>
      </c>
      <c r="Q22" s="4">
        <f>IF(P22=0,0,O22/P22)</f>
        <v/>
      </c>
      <c r="R22" s="3" t="inlineStr">
        <is>
          <t>红利复投</t>
        </is>
      </c>
      <c r="S22">
        <f>IF(H22="","",IF(P22&lt;0,"ERROR: Over-sold",IF(AND(H22&lt;0,K22=0),"ERROR: Sell w/o position","")))</f>
        <v/>
      </c>
    </row>
    <row r="23">
      <c r="A23" s="7" t="n">
        <v>46120</v>
      </c>
      <c r="B23" s="3" t="inlineStr">
        <is>
          <t>JEPQ</t>
        </is>
      </c>
      <c r="C23" s="3" t="inlineStr">
        <is>
          <t>L0+</t>
        </is>
      </c>
      <c r="D23" s="3" t="inlineStr">
        <is>
          <t>BUY</t>
        </is>
      </c>
      <c r="E23" s="3" t="n">
        <v>6.06026</v>
      </c>
      <c r="F23" s="3" t="n">
        <v>55.58</v>
      </c>
      <c r="G23" s="3" t="n">
        <v>2.01</v>
      </c>
      <c r="H23">
        <f>IF(OR(D23="",E23=""),"",IF(D23="BUY",E23,-E23))</f>
        <v/>
      </c>
      <c r="I23" s="4">
        <f>IF(H23="","",ABS(H23)*F23)</f>
        <v/>
      </c>
      <c r="J23" s="4">
        <f>IF(H23="","",-H23*F23-G23)</f>
        <v/>
      </c>
      <c r="K23" s="5">
        <f>IF(OR(B23="",C23=""),"",SUMIFS($H$4:H21,$B$4:B21,B23,$C$4:C21,C23))</f>
        <v/>
      </c>
      <c r="L23" s="4">
        <f>IF(OR(B23="",C23=""),"",IFERROR(LOOKUP(2,1/(($B$4:B21=B23)*($C$4:C21=C23)),$O$4:O21),0))</f>
        <v/>
      </c>
      <c r="M23" s="4">
        <f>IF(K23=0,0,L23/K23)</f>
        <v/>
      </c>
      <c r="N23" s="4">
        <f>IF(H23&lt;0,ABS(H23)*(F23-M23)-G23,0)</f>
        <v/>
      </c>
      <c r="O23" s="4">
        <f>IF(H23="","",IF(H23&gt;0,L23+I23+G23,MAX(0,L23-ABS(H23)*M23)))</f>
        <v/>
      </c>
      <c r="P23" s="5">
        <f>IF(H23="","",K23+H23)</f>
        <v/>
      </c>
      <c r="Q23" s="4">
        <f>IF(P23=0,0,O23/P23)</f>
        <v/>
      </c>
      <c r="R23" s="3" t="inlineStr">
        <is>
          <t>红利复投</t>
        </is>
      </c>
    </row>
    <row r="24">
      <c r="A24" s="7" t="n">
        <v>46121</v>
      </c>
      <c r="B24" s="3" t="inlineStr">
        <is>
          <t>SOXX</t>
        </is>
      </c>
      <c r="C24" s="3" t="inlineStr">
        <is>
          <t>L1</t>
        </is>
      </c>
      <c r="D24" s="3" t="inlineStr">
        <is>
          <t>BUY</t>
        </is>
      </c>
      <c r="E24" s="3" t="n">
        <v>26</v>
      </c>
      <c r="F24" s="3" t="n">
        <v>373.79</v>
      </c>
      <c r="G24" s="3" t="n">
        <v>2.09</v>
      </c>
      <c r="H24">
        <f>IF(OR(D24="",E24=""),"",IF(D24="BUY",E24,-E24))</f>
        <v/>
      </c>
      <c r="I24" s="4">
        <f>IF(H24="","",ABS(H24)*F24)</f>
        <v/>
      </c>
      <c r="J24" s="4">
        <f>IF(H24="","",-H24*F24-G24)</f>
        <v/>
      </c>
      <c r="K24" s="5">
        <f>IF(OR(B24="",C24=""),"",SUMIFS($H$4:H22,$B$4:B22,B24,$C$4:C22,C24))</f>
        <v/>
      </c>
      <c r="L24" s="4">
        <f>IF(OR(B24="",C24=""),"",IFERROR(LOOKUP(2,1/(($B$4:B22=B24)*($C$4:C22=C24)),$O$4:O22),0))</f>
        <v/>
      </c>
      <c r="M24" s="4">
        <f>IF(K24=0,0,L24/K24)</f>
        <v/>
      </c>
      <c r="N24" s="4">
        <f>IF(H24&lt;0,ABS(H24)*(F24-M24)-G24,0)</f>
        <v/>
      </c>
      <c r="O24" s="4">
        <f>IF(H24="","",IF(H24&gt;0,L24+I24+G24,MAX(0,L24-ABS(H24)*M24)))</f>
        <v/>
      </c>
      <c r="P24" s="5">
        <f>IF(H24="","",K24+H24)</f>
        <v/>
      </c>
      <c r="Q24" s="4">
        <f>IF(P24=0,0,O24/P24)</f>
        <v/>
      </c>
      <c r="R24" s="3" t="n"/>
      <c r="S24">
        <f>IF(H24="","",IF(P24&lt;0,"ERROR: Over-sold",IF(AND(H24&lt;0,K24=0),"ERROR: Sell w/o position","")))</f>
        <v/>
      </c>
    </row>
    <row r="25">
      <c r="A25" s="7" t="n">
        <v>46127</v>
      </c>
      <c r="B25" s="3" t="inlineStr">
        <is>
          <t>SPY</t>
        </is>
      </c>
      <c r="C25" s="3" t="inlineStr">
        <is>
          <t>L1</t>
        </is>
      </c>
      <c r="D25" s="3" t="inlineStr">
        <is>
          <t>BUY</t>
        </is>
      </c>
      <c r="E25" s="3" t="n">
        <v>14</v>
      </c>
      <c r="F25" s="3" t="n">
        <v>695.17</v>
      </c>
      <c r="G25" s="3" t="n">
        <v>2.04</v>
      </c>
      <c r="H25">
        <f>IF(OR(D25="",E25=""),"",IF(D25="BUY",E25,-E25))</f>
        <v/>
      </c>
      <c r="I25" s="4">
        <f>IF(H25="","",ABS(H25)*F25)</f>
        <v/>
      </c>
      <c r="J25" s="4">
        <f>IF(H25="","",-H25*F25-G25)</f>
        <v/>
      </c>
      <c r="K25" s="5">
        <f>IF(OR(B25="",C25=""),"",SUMIFS($H$4:H24,$B$4:B24,B25,$C$4:C24,C25))</f>
        <v/>
      </c>
      <c r="L25" s="4">
        <f>IF(OR(B25="",C25=""),"",IFERROR(LOOKUP(2,1/(($B$4:B24=B25)*($C$4:C24=C25)),$O$4:O24),0))</f>
        <v/>
      </c>
      <c r="M25" s="4">
        <f>IF(K25=0,0,L25/K25)</f>
        <v/>
      </c>
      <c r="N25" s="4">
        <f>IF(H25&lt;0,ABS(H25)*(F25-M25)-G25,0)</f>
        <v/>
      </c>
      <c r="O25" s="4">
        <f>IF(H25="","",IF(H25&gt;0,L25+I25+G25,MAX(0,L25-ABS(H25)*M25)))</f>
        <v/>
      </c>
      <c r="P25" s="5">
        <f>IF(H25="","",K25+H25)</f>
        <v/>
      </c>
      <c r="Q25" s="4">
        <f>IF(P25=0,0,O25/P25)</f>
        <v/>
      </c>
      <c r="R25" s="3" t="n"/>
      <c r="S25">
        <f>IF(H25="","",IF(P25&lt;0,"ERROR: Over-sold",IF(AND(H25&lt;0,K25=0),"ERROR: Sell w/o position","")))</f>
        <v/>
      </c>
    </row>
    <row r="26">
      <c r="A26" s="7" t="n">
        <v>46127</v>
      </c>
      <c r="B26" s="3" t="inlineStr">
        <is>
          <t>QQQ</t>
        </is>
      </c>
      <c r="C26" s="3" t="inlineStr">
        <is>
          <t>L1</t>
        </is>
      </c>
      <c r="D26" s="3" t="inlineStr">
        <is>
          <t>BUY</t>
        </is>
      </c>
      <c r="E26" s="3" t="n">
        <v>6</v>
      </c>
      <c r="F26" s="3" t="n">
        <v>628.74</v>
      </c>
      <c r="G26" s="3" t="n">
        <v>2.01</v>
      </c>
      <c r="H26">
        <f>IF(OR(D26="",E26=""),"",IF(D26="BUY",E26,-E26))</f>
        <v/>
      </c>
      <c r="I26" s="4">
        <f>IF(H26="","",ABS(H26)*F26)</f>
        <v/>
      </c>
      <c r="J26" s="4">
        <f>IF(H26="","",-H26*F26-G26)</f>
        <v/>
      </c>
      <c r="K26" s="5">
        <f>IF(OR(B26="",C26=""),"",SUMIFS($H$4:H25,$B$4:B25,B26,$C$4:C25,C26))</f>
        <v/>
      </c>
      <c r="L26" s="4">
        <f>IF(OR(B26="",C26=""),"",IFERROR(LOOKUP(2,1/(($B$4:B25=B26)*($C$4:C25=C26)),$O$4:O25),0))</f>
        <v/>
      </c>
      <c r="M26" s="4">
        <f>IF(K26=0,0,L26/K26)</f>
        <v/>
      </c>
      <c r="N26" s="4">
        <f>IF(H26&lt;0,ABS(H26)*(F26-M26)-G26,0)</f>
        <v/>
      </c>
      <c r="O26" s="4">
        <f>IF(H26="","",IF(H26&gt;0,L26+I26+G26,MAX(0,L26-ABS(H26)*M26)))</f>
        <v/>
      </c>
      <c r="P26" s="5">
        <f>IF(H26="","",K26+H26)</f>
        <v/>
      </c>
      <c r="Q26" s="4">
        <f>IF(P26=0,0,O26/P26)</f>
        <v/>
      </c>
      <c r="R26" s="3" t="n"/>
      <c r="S26">
        <f>IF(H26="","",IF(P26&lt;0,"ERROR: Over-sold",IF(AND(H26&lt;0,K26=0),"ERROR: Sell w/o position","")))</f>
        <v/>
      </c>
    </row>
    <row r="27">
      <c r="A27" s="7" t="n">
        <v>46127</v>
      </c>
      <c r="B27" s="3" t="inlineStr">
        <is>
          <t>JEPQ</t>
        </is>
      </c>
      <c r="C27" s="3" t="inlineStr">
        <is>
          <t>L0+</t>
        </is>
      </c>
      <c r="D27" s="3" t="inlineStr">
        <is>
          <t>SELL</t>
        </is>
      </c>
      <c r="E27" s="3" t="n">
        <v>100.15961</v>
      </c>
      <c r="F27" s="3" t="n">
        <v>58.44</v>
      </c>
      <c r="G27" s="3" t="n">
        <v>2.51</v>
      </c>
      <c r="H27">
        <f>IF(OR(D27="",E27=""),"",IF(D27="BUY",E27,-E27))</f>
        <v/>
      </c>
      <c r="I27" s="4">
        <f>IF(H27="","",ABS(H27)*F27)</f>
        <v/>
      </c>
      <c r="J27" s="4">
        <f>IF(H27="","",-H27*F27-G27)</f>
        <v/>
      </c>
      <c r="K27" s="5">
        <f>IF(OR(B27="",C27=""),"",SUMIFS($H$4:H26,$B$4:B26,B27,$C$4:C26,C27))</f>
        <v/>
      </c>
      <c r="L27" s="4">
        <f>IF(OR(B27="",C27=""),"",IFERROR(LOOKUP(2,1/(($B$4:B26=B27)*($C$4:C26=C27)),$O$4:O26),0))</f>
        <v/>
      </c>
      <c r="M27" s="4">
        <f>IF(K27=0,0,L27/K27)</f>
        <v/>
      </c>
      <c r="N27" s="4">
        <f>IF(H27&lt;0,ABS(H27)*(F27-M27)-G27,0)</f>
        <v/>
      </c>
      <c r="O27" s="4">
        <f>IF(H27="","",IF(H27&gt;0,L27+I27+G27,MAX(0,L27-ABS(H27)*M27)))</f>
        <v/>
      </c>
      <c r="P27" s="5">
        <f>IF(H27="","",K27+H27)</f>
        <v/>
      </c>
      <c r="Q27" s="4">
        <f>IF(P27=0,0,O27/P27)</f>
        <v/>
      </c>
      <c r="R27" s="3" t="inlineStr">
        <is>
          <t>调整持仓比例</t>
        </is>
      </c>
      <c r="S27">
        <f>IF(H27="","",IF(P27&lt;0,"ERROR: Over-sold",IF(AND(H27&lt;0,K27=0),"ERROR: Sell w/o position","")))</f>
        <v/>
      </c>
    </row>
    <row r="28">
      <c r="A28" s="7" t="n">
        <v>46127</v>
      </c>
      <c r="B28" s="3" t="inlineStr">
        <is>
          <t>JEPQ</t>
        </is>
      </c>
      <c r="C28" s="3" t="inlineStr">
        <is>
          <t>L0+</t>
        </is>
      </c>
      <c r="D28" s="3" t="inlineStr">
        <is>
          <t>SELL</t>
        </is>
      </c>
      <c r="E28" s="3" t="n">
        <v>26</v>
      </c>
      <c r="F28" s="3" t="n">
        <v>58.43</v>
      </c>
      <c r="G28" s="3" t="n">
        <v>2.12</v>
      </c>
      <c r="H28">
        <f>IF(OR(D28="",E28=""),"",IF(D28="BUY",E28,-E28))</f>
        <v/>
      </c>
      <c r="I28" s="4">
        <f>IF(H28="","",ABS(H28)*F28)</f>
        <v/>
      </c>
      <c r="J28" s="4">
        <f>IF(H28="","",-H28*F28-G28)</f>
        <v/>
      </c>
      <c r="K28" s="5">
        <f>IF(OR(B28="",C28=""),"",SUMIFS($H$4:H27,$B$4:B27,B28,$C$4:C27,C28))</f>
        <v/>
      </c>
      <c r="L28" s="4">
        <f>IF(OR(B28="",C28=""),"",IFERROR(LOOKUP(2,1/(($B$4:B27=B28)*($C$4:C27=C28)),$O$4:O27),0))</f>
        <v/>
      </c>
      <c r="M28" s="4">
        <f>IF(K28=0,0,L28/K28)</f>
        <v/>
      </c>
      <c r="N28" s="4">
        <f>IF(H28&lt;0,ABS(H28)*(F28-M28)-G28,0)</f>
        <v/>
      </c>
      <c r="O28" s="4">
        <f>IF(H28="","",IF(H28&gt;0,L28+I28+G28,MAX(0,L28-ABS(H28)*M28)))</f>
        <v/>
      </c>
      <c r="P28" s="5">
        <f>IF(H28="","",K28+H28)</f>
        <v/>
      </c>
      <c r="Q28" s="4">
        <f>IF(P28=0,0,O28/P28)</f>
        <v/>
      </c>
      <c r="R28" s="3" t="inlineStr">
        <is>
          <t>调整持仓比例</t>
        </is>
      </c>
      <c r="S28">
        <f>IF(H28="","",IF(P28&lt;0,"ERROR: Over-sold",IF(AND(H28&lt;0,K28=0),"ERROR: Sell w/o position","")))</f>
        <v/>
      </c>
    </row>
    <row r="29">
      <c r="A29" s="7" t="n">
        <v>46127</v>
      </c>
      <c r="B29" s="3" t="inlineStr">
        <is>
          <t>QQQ</t>
        </is>
      </c>
      <c r="C29" s="3" t="inlineStr">
        <is>
          <t>L1</t>
        </is>
      </c>
      <c r="D29" s="3" t="inlineStr">
        <is>
          <t>BUY</t>
        </is>
      </c>
      <c r="E29" s="3" t="n">
        <v>10</v>
      </c>
      <c r="F29" s="3" t="n">
        <v>629.37</v>
      </c>
      <c r="G29" s="3" t="n">
        <v>2.03</v>
      </c>
      <c r="H29">
        <f>IF(OR(D29="",E29=""),"",IF(D29="BUY",E29,-E29))</f>
        <v/>
      </c>
      <c r="I29" s="4">
        <f>IF(H29="","",ABS(H29)*F29)</f>
        <v/>
      </c>
      <c r="J29" s="4">
        <f>IF(H29="","",-H29*F29-G29)</f>
        <v/>
      </c>
      <c r="K29" s="5">
        <f>IF(OR(B29="",C29=""),"",SUMIFS($H$4:H28,$B$4:B28,B29,$C$4:C28,C29))</f>
        <v/>
      </c>
      <c r="L29" s="4">
        <f>IF(OR(B29="",C29=""),"",IFERROR(LOOKUP(2,1/(($B$4:B28=B29)*($C$4:C28=C29)),$O$4:O28),0))</f>
        <v/>
      </c>
      <c r="M29" s="4">
        <f>IF(K29=0,0,L29/K29)</f>
        <v/>
      </c>
      <c r="N29" s="4">
        <f>IF(H29&lt;0,ABS(H29)*(F29-M29)-G29,0)</f>
        <v/>
      </c>
      <c r="O29" s="4">
        <f>IF(H29="","",IF(H29&gt;0,L29+I29+G29,MAX(0,L29-ABS(H29)*M29)))</f>
        <v/>
      </c>
      <c r="P29" s="5">
        <f>IF(H29="","",K29+H29)</f>
        <v/>
      </c>
      <c r="Q29" s="4">
        <f>IF(P29=0,0,O29/P29)</f>
        <v/>
      </c>
      <c r="R29" s="3" t="n"/>
      <c r="S29">
        <f>IF(H29="","",IF(P29&lt;0,"ERROR: Over-sold",IF(AND(H29&lt;0,K29=0),"ERROR: Sell w/o position","")))</f>
        <v/>
      </c>
    </row>
    <row r="30">
      <c r="A30" s="7" t="n">
        <v>46127</v>
      </c>
      <c r="B30" s="3" t="inlineStr">
        <is>
          <t>QQQ</t>
        </is>
      </c>
      <c r="C30" s="3" t="inlineStr">
        <is>
          <t>L1</t>
        </is>
      </c>
      <c r="D30" s="3" t="inlineStr">
        <is>
          <t>BUY</t>
        </is>
      </c>
      <c r="E30" s="3" t="n">
        <v>10</v>
      </c>
      <c r="F30" s="3" t="n">
        <v>629.3</v>
      </c>
      <c r="G30" s="3" t="n">
        <v>2.03</v>
      </c>
      <c r="H30">
        <f>IF(OR(D30="",E30=""),"",IF(D30="BUY",E30,-E30))</f>
        <v/>
      </c>
      <c r="I30" s="4">
        <f>IF(H30="","",ABS(H30)*F30)</f>
        <v/>
      </c>
      <c r="J30" s="4">
        <f>IF(H30="","",-H30*F30-G30)</f>
        <v/>
      </c>
      <c r="K30" s="5">
        <f>IF(OR(B30="",C30=""),"",SUMIFS($H$4:H29,$B$4:B29,B30,$C$4:C29,C30))</f>
        <v/>
      </c>
      <c r="L30" s="4">
        <f>IF(OR(B30="",C30=""),"",IFERROR(LOOKUP(2,1/(($B$4:B29=B30)*($C$4:C29=C30)),$O$4:O29),0))</f>
        <v/>
      </c>
      <c r="M30" s="4">
        <f>IF(K30=0,0,L30/K30)</f>
        <v/>
      </c>
      <c r="N30" s="4">
        <f>IF(H30&lt;0,ABS(H30)*(F30-M30)-G30,0)</f>
        <v/>
      </c>
      <c r="O30" s="4">
        <f>IF(H30="","",IF(H30&gt;0,L30+I30+G30,MAX(0,L30-ABS(H30)*M30)))</f>
        <v/>
      </c>
      <c r="P30" s="5">
        <f>IF(H30="","",K30+H30)</f>
        <v/>
      </c>
      <c r="Q30" s="4">
        <f>IF(P30=0,0,O30/P30)</f>
        <v/>
      </c>
      <c r="R30" s="3" t="n"/>
      <c r="S30">
        <f>IF(H30="","",IF(P30&lt;0,"ERROR: Over-sold",IF(AND(H30&lt;0,K30=0),"ERROR: Sell w/o position","")))</f>
        <v/>
      </c>
    </row>
    <row r="31">
      <c r="A31" s="7" t="n">
        <v>46127</v>
      </c>
      <c r="B31" s="3" t="inlineStr">
        <is>
          <t>QQQ</t>
        </is>
      </c>
      <c r="C31" s="3" t="inlineStr">
        <is>
          <t>L1</t>
        </is>
      </c>
      <c r="D31" s="3" t="inlineStr">
        <is>
          <t>SELL</t>
        </is>
      </c>
      <c r="E31" s="3" t="n">
        <v>10</v>
      </c>
      <c r="F31" s="3" t="n">
        <v>629.1799999999999</v>
      </c>
      <c r="G31" s="3" t="n">
        <v>2.16</v>
      </c>
      <c r="H31">
        <f>IF(OR(D31="",E31=""),"",IF(D31="BUY",E31,-E31))</f>
        <v/>
      </c>
      <c r="I31" s="4">
        <f>IF(H31="","",ABS(H31)*F31)</f>
        <v/>
      </c>
      <c r="J31" s="4">
        <f>IF(H31="","",-H31*F31-G31)</f>
        <v/>
      </c>
      <c r="K31" s="5">
        <f>IF(OR(B31="",C31=""),"",SUMIFS($H$4:H30,$B$4:B30,B31,$C$4:C30,C31))</f>
        <v/>
      </c>
      <c r="L31" s="4">
        <f>IF(OR(B31="",C31=""),"",IFERROR(LOOKUP(2,1/(($B$4:B30=B31)*($C$4:C30=C31)),$O$4:O30),0))</f>
        <v/>
      </c>
      <c r="M31" s="4">
        <f>IF(K31=0,0,L31/K31)</f>
        <v/>
      </c>
      <c r="N31" s="4">
        <f>IF(H31&lt;0,ABS(H31)*(F31-M31)-G31,0)</f>
        <v/>
      </c>
      <c r="O31" s="4">
        <f>IF(H31="","",IF(H31&gt;0,L31+I31+G31,MAX(0,L31-ABS(H31)*M31)))</f>
        <v/>
      </c>
      <c r="P31" s="5">
        <f>IF(H31="","",K31+H31)</f>
        <v/>
      </c>
      <c r="Q31" s="4">
        <f>IF(P31=0,0,O31/P31)</f>
        <v/>
      </c>
      <c r="R31" s="3" t="inlineStr">
        <is>
          <t>调整持仓比例</t>
        </is>
      </c>
      <c r="S31">
        <f>IF(H31="","",IF(P31&lt;0,"ERROR: Over-sold",IF(AND(H31&lt;0,K31=0),"ERROR: Sell w/o position","")))</f>
        <v/>
      </c>
    </row>
    <row r="32">
      <c r="A32" s="7" t="n">
        <v>46127</v>
      </c>
      <c r="B32" s="3" t="inlineStr">
        <is>
          <t>JEPQ</t>
        </is>
      </c>
      <c r="C32" s="3" t="inlineStr">
        <is>
          <t>L0+</t>
        </is>
      </c>
      <c r="D32" s="3" t="inlineStr">
        <is>
          <t>BUY</t>
        </is>
      </c>
      <c r="E32" s="3" t="n">
        <v>189</v>
      </c>
      <c r="F32" s="3" t="n">
        <v>58.38</v>
      </c>
      <c r="G32" s="3" t="n">
        <v>2.73</v>
      </c>
      <c r="H32">
        <f>IF(OR(D32="",E32=""),"",IF(D32="BUY",E32,-E32))</f>
        <v/>
      </c>
      <c r="I32" s="4">
        <f>IF(H32="","",ABS(H32)*F32)</f>
        <v/>
      </c>
      <c r="J32" s="4">
        <f>IF(H32="","",-H32*F32-G32)</f>
        <v/>
      </c>
      <c r="K32" s="5">
        <f>IF(OR(B32="",C32=""),"",SUMIFS($H$4:H31,$B$4:B31,B32,$C$4:C31,C32))</f>
        <v/>
      </c>
      <c r="L32" s="4">
        <f>IF(OR(B32="",C32=""),"",IFERROR(LOOKUP(2,1/(($B$4:B31=B32)*($C$4:C31=C32)),$O$4:O31),0))</f>
        <v/>
      </c>
      <c r="M32" s="4">
        <f>IF(K32=0,0,L32/K32)</f>
        <v/>
      </c>
      <c r="N32" s="4">
        <f>IF(H32&lt;0,ABS(H32)*(F32-M32)-G32,0)</f>
        <v/>
      </c>
      <c r="O32" s="4">
        <f>IF(H32="","",IF(H32&gt;0,L32+I32+G32,MAX(0,L32-ABS(H32)*M32)))</f>
        <v/>
      </c>
      <c r="P32" s="5">
        <f>IF(H32="","",K32+H32)</f>
        <v/>
      </c>
      <c r="Q32" s="4">
        <f>IF(P32=0,0,O32/P32)</f>
        <v/>
      </c>
      <c r="R32" s="3" t="inlineStr">
        <is>
          <t>调整持仓比例</t>
        </is>
      </c>
      <c r="S32">
        <f>IF(H32="","",IF(P32&lt;0,"ERROR: Over-sold",IF(AND(H32&lt;0,K32=0),"ERROR: Sell w/o position","")))</f>
        <v/>
      </c>
    </row>
    <row r="33">
      <c r="A33" s="7" t="n">
        <v>46127</v>
      </c>
      <c r="B33" s="3" t="inlineStr">
        <is>
          <t>JEPQ</t>
        </is>
      </c>
      <c r="C33" s="3" t="inlineStr">
        <is>
          <t>L0+</t>
        </is>
      </c>
      <c r="D33" s="3" t="inlineStr">
        <is>
          <t>SELL</t>
        </is>
      </c>
      <c r="E33" s="3" t="n">
        <v>289</v>
      </c>
      <c r="F33" s="3" t="n">
        <v>58.66</v>
      </c>
      <c r="G33" s="3" t="n">
        <v>3.78</v>
      </c>
      <c r="H33">
        <f>IF(OR(D33="",E33=""),"",IF(D33="BUY",E33,-E33))</f>
        <v/>
      </c>
      <c r="I33" s="4">
        <f>IF(H33="","",ABS(H33)*F33)</f>
        <v/>
      </c>
      <c r="J33" s="4">
        <f>IF(H33="","",-H33*F33-G33)</f>
        <v/>
      </c>
      <c r="K33" s="5">
        <f>IF(OR(B33="",C33=""),"",SUMIFS($H$4:H32,$B$4:B32,B33,$C$4:C32,C33))</f>
        <v/>
      </c>
      <c r="L33" s="4">
        <f>IF(OR(B33="",C33=""),"",IFERROR(LOOKUP(2,1/(($B$4:B32=B33)*($C$4:C32=C33)),$O$4:O32),0))</f>
        <v/>
      </c>
      <c r="M33" s="4">
        <f>IF(K33=0,0,L33/K33)</f>
        <v/>
      </c>
      <c r="N33" s="4">
        <f>IF(H33&lt;0,ABS(H33)*(F33-M33)-G33,0)</f>
        <v/>
      </c>
      <c r="O33" s="4">
        <f>IF(H33="","",IF(H33&gt;0,L33+I33+G33,MAX(0,L33-ABS(H33)*M33)))</f>
        <v/>
      </c>
      <c r="P33" s="5">
        <f>IF(H33="","",K33+H33)</f>
        <v/>
      </c>
      <c r="Q33" s="4">
        <f>IF(P33=0,0,O33/P33)</f>
        <v/>
      </c>
      <c r="R33" s="3" t="inlineStr">
        <is>
          <t>调整持仓比例</t>
        </is>
      </c>
      <c r="S33">
        <f>IF(H33="","",IF(P33&lt;0,"ERROR: Over-sold",IF(AND(H33&lt;0,K33=0),"ERROR: Sell w/o position","")))</f>
        <v/>
      </c>
    </row>
    <row r="34">
      <c r="A34" s="7" t="n">
        <v>46130</v>
      </c>
      <c r="B34" s="3" t="inlineStr">
        <is>
          <t>JEPQ</t>
        </is>
      </c>
      <c r="C34" s="3" t="inlineStr">
        <is>
          <t>L0+</t>
        </is>
      </c>
      <c r="D34" s="3" t="inlineStr">
        <is>
          <t>BUY</t>
        </is>
      </c>
      <c r="E34" s="3" t="n">
        <v>250</v>
      </c>
      <c r="F34" s="3" t="n">
        <v>58.64</v>
      </c>
      <c r="G34" s="3" t="n">
        <v>2.97</v>
      </c>
      <c r="H34">
        <f>IF(OR(D34="",E34=""),"",IF(D34="BUY",E34,-E34))</f>
        <v/>
      </c>
      <c r="I34" s="4">
        <f>IF(H34="","",ABS(H34)*F34)</f>
        <v/>
      </c>
      <c r="J34" s="4">
        <f>IF(H34="","",-H34*F34-G34)</f>
        <v/>
      </c>
      <c r="K34" s="5">
        <f>IF(OR(B34="",C34=""),"",SUMIFS($H$4:H33,$B$4:B33,B34,$C$4:C33,C34))</f>
        <v/>
      </c>
      <c r="L34" s="4">
        <f>IF(OR(B34="",C34=""),"",IFERROR(LOOKUP(2,1/(($B$4:B33=B34)*($C$4:C33=C34)),$O$4:O33),0))</f>
        <v/>
      </c>
      <c r="M34" s="4">
        <f>IF(K34=0,0,L34/K34)</f>
        <v/>
      </c>
      <c r="N34" s="4">
        <f>IF(H34&lt;0,ABS(H34)*(F34-M34)-G34,0)</f>
        <v/>
      </c>
      <c r="O34" s="4">
        <f>IF(H34="","",IF(H34&gt;0,L34+I34+G34,MAX(0,L34-ABS(H34)*M34)))</f>
        <v/>
      </c>
      <c r="P34" s="5">
        <f>IF(H34="","",K34+H34)</f>
        <v/>
      </c>
      <c r="Q34" s="4">
        <f>IF(P34=0,0,O34/P34)</f>
        <v/>
      </c>
      <c r="R34" s="3" t="inlineStr">
        <is>
          <t>调整持仓比例</t>
        </is>
      </c>
      <c r="S34">
        <f>IF(H34="","",IF(P34&lt;0,"ERROR: Over-sold",IF(AND(H34&lt;0,K34=0),"ERROR: Sell w/o position","")))</f>
        <v/>
      </c>
    </row>
    <row r="35">
      <c r="A35" s="7" t="n">
        <v>46149</v>
      </c>
      <c r="B35" s="3" t="inlineStr">
        <is>
          <t>JEPQ</t>
        </is>
      </c>
      <c r="C35" s="3" t="inlineStr">
        <is>
          <t>L0+</t>
        </is>
      </c>
      <c r="D35" s="3" t="inlineStr">
        <is>
          <t>BUY</t>
        </is>
      </c>
      <c r="E35" s="3" t="n">
        <v>6.27067</v>
      </c>
      <c r="F35" s="3" t="n">
        <v>59.36</v>
      </c>
      <c r="G35" s="3" t="n">
        <v>2.01</v>
      </c>
      <c r="H35">
        <f>IF(OR(D35="",E35=""),"",IF(D35="BUY",E35,-E35))</f>
        <v/>
      </c>
      <c r="I35" s="4">
        <f>IF(H35="","",ABS(H35)*F35)</f>
        <v/>
      </c>
      <c r="J35" s="4">
        <f>IF(H35="","",-H35*F35-G35)</f>
        <v/>
      </c>
      <c r="K35" s="5">
        <f>IF(OR(B35="",C35=""),"",SUMIFS($H$4:H34,$B$4:B34,B35,$C$4:C34,C35))</f>
        <v/>
      </c>
      <c r="L35" s="4">
        <f>IF(OR(B35="",C35=""),"",IFERROR(LOOKUP(2,1/(($B$4:B34=B35)*($C$4:C34=C35)),$O$4:O34),0))</f>
        <v/>
      </c>
      <c r="M35" s="4">
        <f>IF(K35=0,0,L35/K35)</f>
        <v/>
      </c>
      <c r="N35" s="4">
        <f>IF(H35&lt;0,ABS(H35)*(F35-M35)-G35,0)</f>
        <v/>
      </c>
      <c r="O35" s="4">
        <f>IF(H35="","",IF(H35&gt;0,L35+I35+G35,MAX(0,L35-ABS(H35)*M35)))</f>
        <v/>
      </c>
      <c r="P35" s="5">
        <f>IF(H35="","",K35+H35)</f>
        <v/>
      </c>
      <c r="Q35" s="4">
        <f>IF(P35=0,0,O35/P35)</f>
        <v/>
      </c>
      <c r="R35" s="3" t="inlineStr">
        <is>
          <t>红利复投</t>
        </is>
      </c>
      <c r="S35">
        <f>IF(H35="","",IF(P35&lt;0,"ERROR: Over-sold",IF(AND(H35&lt;0,K35=0),"ERROR: Sell w/o position","")))</f>
        <v/>
      </c>
    </row>
    <row r="36">
      <c r="A36" s="7" t="n">
        <v>46149</v>
      </c>
      <c r="B36" s="3" t="inlineStr">
        <is>
          <t>JEPQ</t>
        </is>
      </c>
      <c r="C36" s="3" t="inlineStr">
        <is>
          <t>L0+</t>
        </is>
      </c>
      <c r="D36" s="3" t="inlineStr">
        <is>
          <t>BUY</t>
        </is>
      </c>
      <c r="E36" s="3" t="n">
        <v>37</v>
      </c>
      <c r="F36" s="3" t="n">
        <v>59.36</v>
      </c>
      <c r="G36" s="3" t="n">
        <v>2.13</v>
      </c>
      <c r="H36">
        <f>IF(OR(D36="",E36=""),"",IF(D36="BUY",E36,-E36))</f>
        <v/>
      </c>
      <c r="I36" s="4">
        <f>IF(H36="","",ABS(H36)*F36)</f>
        <v/>
      </c>
      <c r="J36" s="4">
        <f>IF(H36="","",-H36*F36-G36)</f>
        <v/>
      </c>
      <c r="K36" s="5">
        <f>IF(OR(B36="",C36=""),"",SUMIFS($H$4:H35,$B$4:B35,B36,$C$4:C35,C36))</f>
        <v/>
      </c>
      <c r="L36" s="4">
        <f>IF(OR(B36="",C36=""),"",IFERROR(LOOKUP(2,1/(($B$4:B35=B36)*($C$4:C35=C36)),$O$4:O35),0))</f>
        <v/>
      </c>
      <c r="M36" s="4">
        <f>IF(K36=0,0,L36/K36)</f>
        <v/>
      </c>
      <c r="N36" s="4">
        <f>IF(H36&lt;0,ABS(H36)*(F36-M36)-G36,0)</f>
        <v/>
      </c>
      <c r="O36" s="4">
        <f>IF(H36="","",IF(H36&gt;0,L36+I36+G36,MAX(0,L36-ABS(H36)*M36)))</f>
        <v/>
      </c>
      <c r="P36" s="5">
        <f>IF(H36="","",K36+H36)</f>
        <v/>
      </c>
      <c r="Q36" s="4">
        <f>IF(P36=0,0,O36/P36)</f>
        <v/>
      </c>
      <c r="R36" s="3" t="inlineStr">
        <is>
          <t>调整持仓比例</t>
        </is>
      </c>
    </row>
    <row r="37">
      <c r="A37" s="7" t="n">
        <v>46161</v>
      </c>
      <c r="B37" s="3" t="inlineStr">
        <is>
          <t>SOXX</t>
        </is>
      </c>
      <c r="C37" s="3" t="inlineStr">
        <is>
          <t>L1</t>
        </is>
      </c>
      <c r="D37" s="3" t="inlineStr">
        <is>
          <t>SELL</t>
        </is>
      </c>
      <c r="E37" s="3" t="n">
        <v>26</v>
      </c>
      <c r="F37" s="3" t="n">
        <v>478.53</v>
      </c>
      <c r="G37" s="3" t="n">
        <v>2.35</v>
      </c>
      <c r="H37">
        <f>IF(OR(D37="",E37=""),"",IF(D37="BUY",E37,-E37))</f>
        <v/>
      </c>
      <c r="I37" s="4">
        <f>IF(H37="","",ABS(H37)*F37)</f>
        <v/>
      </c>
      <c r="J37" s="4">
        <f>IF(H37="","",-H37*F37-G37)</f>
        <v/>
      </c>
      <c r="K37" s="5">
        <f>IF(OR(B37="",C37=""),"",SUMIFS($H$4:H36,$B$4:B36,B37,$C$4:C36,C37))</f>
        <v/>
      </c>
      <c r="L37" s="4">
        <f>IF(OR(B37="",C37=""),"",IFERROR(LOOKUP(2,1/(($B$4:B36=B37)*($C$4:C36=C37)),$O$4:O36),0))</f>
        <v/>
      </c>
      <c r="M37" s="4">
        <f>IF(K37=0,0,L37/K37)</f>
        <v/>
      </c>
      <c r="N37" s="4">
        <f>IF(H37&lt;0,ABS(H37)*(F37-M37)-G37,0)</f>
        <v/>
      </c>
      <c r="O37" s="4">
        <f>IF(H37="","",IF(H37&gt;0,L37+I37+G37,MAX(0,L37-ABS(H37)*M37)))</f>
        <v/>
      </c>
      <c r="P37" s="5">
        <f>IF(H37="","",K37+H37)</f>
        <v/>
      </c>
      <c r="Q37" s="4">
        <f>IF(P37=0,0,O37/P37)</f>
        <v/>
      </c>
      <c r="R37" s="3" t="inlineStr">
        <is>
          <t>未能理解策略细节，错误止损</t>
        </is>
      </c>
      <c r="S37">
        <f>IF(H37="","",IF(P37&lt;0,"ERROR: Over-sold",IF(AND(H37&lt;0,K37=0),"ERROR: Sell w/o position","")))</f>
        <v/>
      </c>
    </row>
    <row r="38">
      <c r="A38" s="7" t="n">
        <v>46162</v>
      </c>
      <c r="B38" s="3" t="inlineStr">
        <is>
          <t>SOXX</t>
        </is>
      </c>
      <c r="C38" s="3" t="inlineStr">
        <is>
          <t>L1</t>
        </is>
      </c>
      <c r="D38" s="3" t="inlineStr">
        <is>
          <t>BUY</t>
        </is>
      </c>
      <c r="E38" s="3" t="n">
        <v>26</v>
      </c>
      <c r="F38" s="3" t="n">
        <v>515.88</v>
      </c>
      <c r="G38" s="3" t="n">
        <v>2.09</v>
      </c>
      <c r="H38">
        <f>IF(OR(D38="",E38=""),"",IF(D38="BUY",E38,-E38))</f>
        <v/>
      </c>
      <c r="I38" s="4">
        <f>IF(H38="","",ABS(H38)*F38)</f>
        <v/>
      </c>
      <c r="J38" s="4">
        <f>IF(H38="","",-H38*F38-G38)</f>
        <v/>
      </c>
      <c r="K38" s="5">
        <f>IF(OR(B38="",C38=""),"",SUMIFS($H$4:H37,$B$4:B37,B38,$C$4:C37,C38))</f>
        <v/>
      </c>
      <c r="L38" s="4">
        <f>IF(OR(B38="",C38=""),"",IFERROR(LOOKUP(2,1/(($B$4:B37=B38)*($C$4:C37=C38)),$O$4:O37),0))</f>
        <v/>
      </c>
      <c r="M38" s="4">
        <f>IF(K38=0,0,L38/K38)</f>
        <v/>
      </c>
      <c r="N38" s="4">
        <f>IF(H38&lt;0,ABS(H38)*(F38-M38)-G38,0)</f>
        <v/>
      </c>
      <c r="O38" s="4">
        <f>IF(H38="","",IF(H38&gt;0,L38+I38+G38,MAX(0,L38-ABS(H38)*M38)))</f>
        <v/>
      </c>
      <c r="P38" s="5">
        <f>IF(H38="","",K38+H38)</f>
        <v/>
      </c>
      <c r="Q38" s="4">
        <f>IF(P38=0,0,O38/P38)</f>
        <v/>
      </c>
      <c r="R38" s="3" t="inlineStr">
        <is>
          <t>修正上述错误买回</t>
        </is>
      </c>
      <c r="S38">
        <f>IF(H38="","",IF(P38&lt;0,"ERROR: Over-sold",IF(AND(H38&lt;0,K38=0),"ERROR: Sell w/o position","")))</f>
        <v/>
      </c>
    </row>
    <row r="39">
      <c r="A39" s="7" t="n">
        <v>46179</v>
      </c>
      <c r="B39" s="3" t="inlineStr">
        <is>
          <t>JEPQ</t>
        </is>
      </c>
      <c r="C39" s="3" t="inlineStr">
        <is>
          <t>L0+</t>
        </is>
      </c>
      <c r="D39" s="3" t="inlineStr">
        <is>
          <t>BUY</t>
        </is>
      </c>
      <c r="E39" s="3" t="n">
        <v>6.30574</v>
      </c>
      <c r="F39" s="3" t="n">
        <v>59.55</v>
      </c>
      <c r="G39" s="3" t="n">
        <v>2.01</v>
      </c>
      <c r="H39">
        <f>IF(OR(D39="",E39=""),"",IF(D39="BUY",E39,-E39))</f>
        <v/>
      </c>
      <c r="I39" s="4">
        <f>IF(H39="","",ABS(H39)*F39)</f>
        <v/>
      </c>
      <c r="J39" s="4">
        <f>IF(H39="","",-H39*F39-G39)</f>
        <v/>
      </c>
      <c r="K39" s="5">
        <f>IF(OR(B39="",C39=""),"",SUMIFS($H$4:H38,$B$4:B38,B39,$C$4:C38,C39))</f>
        <v/>
      </c>
      <c r="L39" s="4">
        <f>IF(OR(B39="",C39=""),"",IFERROR(LOOKUP(2,1/(($B$4:B38=B39)*($C$4:C38=C39)),$O$4:O38),0))</f>
        <v/>
      </c>
      <c r="M39" s="4">
        <f>IF(K39=0,0,L39/K39)</f>
        <v/>
      </c>
      <c r="N39" s="4">
        <f>IF(H39&lt;0,ABS(H39)*(F39-M39)-G39,0)</f>
        <v/>
      </c>
      <c r="O39" s="4">
        <f>IF(H39="","",IF(H39&gt;0,L39+I39+G39,MAX(0,L39-ABS(H39)*M39)))</f>
        <v/>
      </c>
      <c r="P39" s="5">
        <f>IF(H39="","",K39+H39)</f>
        <v/>
      </c>
      <c r="Q39" s="4">
        <f>IF(P39=0,0,O39/P39)</f>
        <v/>
      </c>
      <c r="R39" s="3" t="inlineStr">
        <is>
          <t>红利复投</t>
        </is>
      </c>
      <c r="S39">
        <f>IF(H39="","",IF(P39&lt;0,"ERROR: Over-sold",IF(AND(H39&lt;0,K39=0),"ERROR: Sell w/o position","")))</f>
        <v/>
      </c>
    </row>
    <row r="40">
      <c r="A40" s="7" t="n">
        <v>46181</v>
      </c>
      <c r="B40" s="3" t="inlineStr">
        <is>
          <t>QQQ</t>
        </is>
      </c>
      <c r="C40" s="3" t="inlineStr">
        <is>
          <t>L1</t>
        </is>
      </c>
      <c r="D40" s="3" t="inlineStr">
        <is>
          <t>SELL</t>
        </is>
      </c>
      <c r="E40" s="3" t="n">
        <v>16</v>
      </c>
      <c r="F40" s="3" t="n">
        <v>716.23</v>
      </c>
      <c r="G40" s="3" t="n">
        <v>2.29</v>
      </c>
      <c r="H40">
        <f>IF(OR(D40="",E40=""),"",IF(D40="BUY",E40,-E40))</f>
        <v/>
      </c>
      <c r="I40" s="4">
        <f>IF(H40="","",ABS(H40)*F40)</f>
        <v/>
      </c>
      <c r="J40" s="4">
        <f>IF(H40="","",-H40*F40-G40)</f>
        <v/>
      </c>
      <c r="K40" s="5">
        <f>IF(OR(B40="",C40=""),"",SUMIFS($H$4:H39,$B$4:B39,B40,$C$4:C39,C40))</f>
        <v/>
      </c>
      <c r="L40" s="4">
        <f>IF(OR(B40="",C40=""),"",IFERROR(LOOKUP(2,1/(($B$4:B39=B40)*($C$4:C39=C40)),$O$4:O39),0))</f>
        <v/>
      </c>
      <c r="M40" s="4">
        <f>IF(K40=0,0,L40/K40)</f>
        <v/>
      </c>
      <c r="N40" s="4">
        <f>IF(H40&lt;0,ABS(H40)*(F40-M40)-G40,0)</f>
        <v/>
      </c>
      <c r="O40" s="4">
        <f>IF(H40="","",IF(H40&gt;0,L40+I40+G40,MAX(0,L40-ABS(H40)*M40)))</f>
        <v/>
      </c>
      <c r="P40" s="5">
        <f>IF(H40="","",K40+H40)</f>
        <v/>
      </c>
      <c r="Q40" s="4">
        <f>IF(P40=0,0,O40/P40)</f>
        <v/>
      </c>
      <c r="R40" s="3" t="inlineStr">
        <is>
          <t>策略卖出信号</t>
        </is>
      </c>
      <c r="S40">
        <f>IF(H40="","",IF(P40&lt;0,"ERROR: Over-sold",IF(AND(H40&lt;0,K40=0),"ERROR: Sell w/o position","")))</f>
        <v/>
      </c>
    </row>
    <row r="41">
      <c r="A41" s="7" t="n">
        <v>46181</v>
      </c>
      <c r="B41" s="3" t="inlineStr">
        <is>
          <t>SOXX</t>
        </is>
      </c>
      <c r="C41" s="3" t="inlineStr">
        <is>
          <t>L1</t>
        </is>
      </c>
      <c r="D41" s="3" t="inlineStr">
        <is>
          <t>SELL</t>
        </is>
      </c>
      <c r="E41" s="3" t="n">
        <v>26</v>
      </c>
      <c r="F41" s="3" t="n">
        <v>566.49</v>
      </c>
      <c r="G41" s="3" t="n">
        <v>2.39</v>
      </c>
      <c r="H41">
        <f>IF(OR(D41="",E41=""),"",IF(D41="BUY",E41,-E41))</f>
        <v/>
      </c>
      <c r="I41" s="4">
        <f>IF(H41="","",ABS(H41)*F41)</f>
        <v/>
      </c>
      <c r="J41" s="4">
        <f>IF(H41="","",-H41*F41-G41)</f>
        <v/>
      </c>
      <c r="K41" s="5">
        <f>IF(OR(B41="",C41=""),"",SUMIFS($H$4:H40,$B$4:B40,B41,$C$4:C40,C41))</f>
        <v/>
      </c>
      <c r="L41" s="4">
        <f>IF(OR(B41="",C41=""),"",IFERROR(LOOKUP(2,1/(($B$4:B40=B41)*($C$4:C40=C41)),$O$4:O40),0))</f>
        <v/>
      </c>
      <c r="M41" s="4">
        <f>IF(K41=0,0,L41/K41)</f>
        <v/>
      </c>
      <c r="N41" s="4">
        <f>IF(H41&lt;0,ABS(H41)*(F41-M41)-G41,0)</f>
        <v/>
      </c>
      <c r="O41" s="4">
        <f>IF(H41="","",IF(H41&gt;0,L41+I41+G41,MAX(0,L41-ABS(H41)*M41)))</f>
        <v/>
      </c>
      <c r="P41" s="5">
        <f>IF(H41="","",K41+H41)</f>
        <v/>
      </c>
      <c r="Q41" s="4">
        <f>IF(P41=0,0,O41/P41)</f>
        <v/>
      </c>
      <c r="R41" s="3" t="inlineStr">
        <is>
          <t>策略卖出信号</t>
        </is>
      </c>
      <c r="S41">
        <f>IF(H41="","",IF(P41&lt;0,"ERROR: Over-sold",IF(AND(H41&lt;0,K41=0),"ERROR: Sell w/o position","")))</f>
        <v/>
      </c>
    </row>
    <row r="42">
      <c r="A42" s="7" t="n">
        <v>46181</v>
      </c>
      <c r="B42" s="3" t="inlineStr">
        <is>
          <t>SPY</t>
        </is>
      </c>
      <c r="C42" s="3" t="inlineStr">
        <is>
          <t>L1</t>
        </is>
      </c>
      <c r="D42" s="3" t="inlineStr">
        <is>
          <t>SELL</t>
        </is>
      </c>
      <c r="E42" s="3" t="n">
        <v>14</v>
      </c>
      <c r="F42" s="3" t="n">
        <v>741.99</v>
      </c>
      <c r="G42" s="3" t="n">
        <v>2.26</v>
      </c>
      <c r="H42">
        <f>IF(OR(D42="",E42=""),"",IF(D42="BUY",E42,-E42))</f>
        <v/>
      </c>
      <c r="I42" s="4">
        <f>IF(H42="","",ABS(H42)*F42)</f>
        <v/>
      </c>
      <c r="J42" s="4">
        <f>IF(H42="","",-H42*F42-G42)</f>
        <v/>
      </c>
      <c r="K42" s="5">
        <f>IF(OR(B42="",C42=""),"",SUMIFS($H$4:H41,$B$4:B41,B42,$C$4:C41,C42))</f>
        <v/>
      </c>
      <c r="L42" s="4">
        <f>IF(OR(B42="",C42=""),"",IFERROR(LOOKUP(2,1/(($B$4:B41=B42)*($C$4:C41=C42)),$O$4:O41),0))</f>
        <v/>
      </c>
      <c r="M42" s="4">
        <f>IF(K42=0,0,L42/K42)</f>
        <v/>
      </c>
      <c r="N42" s="4">
        <f>IF(H42&lt;0,ABS(H42)*(F42-M42)-G42,0)</f>
        <v/>
      </c>
      <c r="O42" s="4">
        <f>IF(H42="","",IF(H42&gt;0,L42+I42+G42,MAX(0,L42-ABS(H42)*M42)))</f>
        <v/>
      </c>
      <c r="P42" s="5">
        <f>IF(H42="","",K42+H42)</f>
        <v/>
      </c>
      <c r="Q42" s="4">
        <f>IF(P42=0,0,O42/P42)</f>
        <v/>
      </c>
      <c r="R42" s="3" t="inlineStr">
        <is>
          <t>策略卖出信号</t>
        </is>
      </c>
      <c r="S42">
        <f>IF(H42="","",IF(P42&lt;0,"ERROR: Over-sold",IF(AND(H42&lt;0,K42=0),"ERROR: Sell w/o position","")))</f>
        <v/>
      </c>
    </row>
    <row r="43">
      <c r="A43" s="7" t="n">
        <v>46190</v>
      </c>
      <c r="B43" s="3" t="inlineStr">
        <is>
          <t>JEPQ</t>
        </is>
      </c>
      <c r="C43" s="3" t="inlineStr">
        <is>
          <t>L0+</t>
        </is>
      </c>
      <c r="D43" s="3" t="inlineStr">
        <is>
          <t>BUY</t>
        </is>
      </c>
      <c r="E43" s="3" t="n">
        <v>200</v>
      </c>
      <c r="F43" s="3" t="n">
        <v>61.05</v>
      </c>
      <c r="G43" s="3" t="n">
        <v>2.77</v>
      </c>
      <c r="H43">
        <f>IF(OR(D43="",E43=""),"",IF(D43="BUY",E43,-E43))</f>
        <v/>
      </c>
      <c r="I43" s="4">
        <f>IF(H43="","",ABS(H43)*F43)</f>
        <v/>
      </c>
      <c r="J43" s="4">
        <f>IF(H43="","",-H43*F43-G43)</f>
        <v/>
      </c>
      <c r="K43" s="5">
        <f>IF(OR(B43="",C43=""),"",SUMIFS($H$4:H42,$B$4:B42,B43,$C$4:C42,C43))</f>
        <v/>
      </c>
      <c r="L43" s="4">
        <f>IF(OR(B43="",C43=""),"",IFERROR(LOOKUP(2,1/(($B$4:B42=B43)*($C$4:C42=C43)),$O$4:O42),0))</f>
        <v/>
      </c>
      <c r="M43" s="4">
        <f>IF(K43=0,0,L43/K43)</f>
        <v/>
      </c>
      <c r="N43" s="4">
        <f>IF(H43&lt;0,ABS(H43)*(F43-M43)-G43,0)</f>
        <v/>
      </c>
      <c r="O43" s="4">
        <f>IF(H43="","",IF(H43&gt;0,L43+I43+G43,MAX(0,L43-ABS(H43)*M43)))</f>
        <v/>
      </c>
      <c r="P43" s="5">
        <f>IF(H43="","",K43+H43)</f>
        <v/>
      </c>
      <c r="Q43" s="4">
        <f>IF(P43=0,0,O43/P43)</f>
        <v/>
      </c>
      <c r="R43" s="3" t="inlineStr">
        <is>
          <t>按策略调整L0+比例</t>
        </is>
      </c>
      <c r="S43">
        <f>IF(H43="","",IF(P43&lt;0,"ERROR: Over-sold",IF(AND(H43&lt;0,K43=0),"ERROR: Sell w/o position","")))</f>
        <v/>
      </c>
    </row>
    <row r="44">
      <c r="A44" s="7" t="n">
        <v>46190</v>
      </c>
      <c r="B44" s="3" t="inlineStr">
        <is>
          <t>QUAL</t>
        </is>
      </c>
      <c r="C44" s="3" t="inlineStr">
        <is>
          <t>L0+</t>
        </is>
      </c>
      <c r="D44" s="3" t="inlineStr">
        <is>
          <t>BUY</t>
        </is>
      </c>
      <c r="E44" s="3" t="n">
        <v>43</v>
      </c>
      <c r="F44" s="3" t="n">
        <v>218.24</v>
      </c>
      <c r="G44" s="3" t="n">
        <v>2.16</v>
      </c>
      <c r="H44">
        <f>IF(OR(D44="",E44=""),"",IF(D44="BUY",E44,-E44))</f>
        <v/>
      </c>
      <c r="I44" s="4">
        <f>IF(H44="","",ABS(H44)*F44)</f>
        <v/>
      </c>
      <c r="J44" s="4">
        <f>IF(H44="","",-H44*F44-G44)</f>
        <v/>
      </c>
      <c r="K44" s="5">
        <f>IF(OR(B44="",C44=""),"",SUMIFS($H$4:H43,$B$4:B43,B44,$C$4:C43,C44))</f>
        <v/>
      </c>
      <c r="L44" s="4">
        <f>IF(OR(B44="",C44=""),"",IFERROR(LOOKUP(2,1/(($B$4:B43=B44)*($C$4:C43=C44)),$O$4:O43),0))</f>
        <v/>
      </c>
      <c r="M44" s="4">
        <f>IF(K44=0,0,L44/K44)</f>
        <v/>
      </c>
      <c r="N44" s="4">
        <f>IF(H44&lt;0,ABS(H44)*(F44-M44)-G44,0)</f>
        <v/>
      </c>
      <c r="O44" s="4">
        <f>IF(H44="","",IF(H44&gt;0,L44+I44+G44,MAX(0,L44-ABS(H44)*M44)))</f>
        <v/>
      </c>
      <c r="P44" s="5">
        <f>IF(H44="","",K44+H44)</f>
        <v/>
      </c>
      <c r="Q44" s="4">
        <f>IF(P44=0,0,O44/P44)</f>
        <v/>
      </c>
      <c r="R44" s="3" t="inlineStr">
        <is>
          <t>按策略调整L0+比例</t>
        </is>
      </c>
      <c r="S44">
        <f>IF(H44="","",IF(P44&lt;0,"ERROR: Over-sold",IF(AND(H44&lt;0,K44=0),"ERROR: Sell w/o position","")))</f>
        <v/>
      </c>
    </row>
    <row r="45">
      <c r="A45" s="7" t="n">
        <v>46195</v>
      </c>
      <c r="B45" s="3" t="inlineStr">
        <is>
          <t>JEPQ</t>
        </is>
      </c>
      <c r="C45" s="3" t="inlineStr">
        <is>
          <t>L0+</t>
        </is>
      </c>
      <c r="D45" s="3" t="inlineStr">
        <is>
          <t>SELL</t>
        </is>
      </c>
      <c r="E45" s="3" t="n">
        <v>139.57641</v>
      </c>
      <c r="F45" s="3" t="n">
        <v>61.5</v>
      </c>
      <c r="G45" s="3" t="n">
        <v>2.72</v>
      </c>
      <c r="H45">
        <f>IF(OR(D45="",E45=""),"",IF(D45="BUY",E45,-E45))</f>
        <v/>
      </c>
      <c r="I45" s="4">
        <f>IF(H45="","",ABS(H45)*F45)</f>
        <v/>
      </c>
      <c r="J45" s="4">
        <f>IF(H45="","",-H45*F45-G45)</f>
        <v/>
      </c>
      <c r="K45" s="5">
        <f>IF(OR(B45="",C45=""),"",SUMIFS($H$4:H44,$B$4:B44,B45,$C$4:C44,C45))</f>
        <v/>
      </c>
      <c r="L45" s="4">
        <f>IF(OR(B45="",C45=""),"",IFERROR(LOOKUP(2,1/(($B$4:B44=B45)*($C$4:C44=C45)),$O$4:O44),0))</f>
        <v/>
      </c>
      <c r="M45" s="4">
        <f>IF(K45=0,0,L45/K45)</f>
        <v/>
      </c>
      <c r="N45" s="4">
        <f>IF(H45&lt;0,ABS(H45)*(F45-M45)-G45,0)</f>
        <v/>
      </c>
      <c r="O45" s="4">
        <f>IF(H45="","",IF(H45&gt;0,L45+I45+G45,MAX(0,L45-ABS(H45)*M45)))</f>
        <v/>
      </c>
      <c r="P45" s="5">
        <f>IF(H45="","",K45+H45)</f>
        <v/>
      </c>
      <c r="Q45" s="4">
        <f>IF(P45=0,0,O45/P45)</f>
        <v/>
      </c>
      <c r="R45" s="3" t="inlineStr">
        <is>
          <t>按策略调整L0+比例</t>
        </is>
      </c>
      <c r="S45">
        <f>IF(H45="","",IF(P45&lt;0,"ERROR: Over-sold",IF(AND(H45&lt;0,K45=0),"ERROR: Sell w/o position","")))</f>
        <v/>
      </c>
    </row>
    <row r="46">
      <c r="A46" s="7" t="n">
        <v>46195</v>
      </c>
      <c r="B46" s="3" t="inlineStr">
        <is>
          <t>SOXX</t>
        </is>
      </c>
      <c r="C46" s="3" t="inlineStr">
        <is>
          <t>L1</t>
        </is>
      </c>
      <c r="D46" s="3" t="inlineStr">
        <is>
          <t>BUY</t>
        </is>
      </c>
      <c r="E46" s="3" t="n">
        <v>20</v>
      </c>
      <c r="F46" s="3" t="n">
        <v>648</v>
      </c>
      <c r="G46" s="3" t="n">
        <v>2.07</v>
      </c>
      <c r="H46">
        <f>IF(OR(D46="",E46=""),"",IF(D46="BUY",E46,-E46))</f>
        <v/>
      </c>
      <c r="I46" s="4">
        <f>IF(H46="","",ABS(H46)*F46)</f>
        <v/>
      </c>
      <c r="J46" s="4">
        <f>IF(H46="","",-H46*F46-G46)</f>
        <v/>
      </c>
      <c r="K46" s="5">
        <f>IF(OR(B46="",C46=""),"",SUMIFS($H$4:H45,$B$4:B45,B46,$C$4:C45,C46))</f>
        <v/>
      </c>
      <c r="L46" s="4">
        <f>IF(OR(B46="",C46=""),"",IFERROR(LOOKUP(2,1/(($B$4:B45=B46)*($C$4:C45=C46)),$O$4:O45),0))</f>
        <v/>
      </c>
      <c r="M46" s="4">
        <f>IF(K46=0,0,L46/K46)</f>
        <v/>
      </c>
      <c r="N46" s="4">
        <f>IF(H46&lt;0,ABS(H46)*(F46-M46)-G46,0)</f>
        <v/>
      </c>
      <c r="O46" s="4">
        <f>IF(H46="","",IF(H46&gt;0,L46+I46+G46,MAX(0,L46-ABS(H46)*M46)))</f>
        <v/>
      </c>
      <c r="P46" s="5">
        <f>IF(H46="","",K46+H46)</f>
        <v/>
      </c>
      <c r="Q46" s="4">
        <f>IF(P46=0,0,O46/P46)</f>
        <v/>
      </c>
      <c r="R46" s="3" t="inlineStr">
        <is>
          <t>策略买入信号</t>
        </is>
      </c>
      <c r="S46">
        <f>IF(H46="","",IF(P46&lt;0,"ERROR: Over-sold",IF(AND(H46&lt;0,K46=0),"ERROR: Sell w/o position","")))</f>
        <v/>
      </c>
    </row>
    <row r="47">
      <c r="A47" s="7" t="n">
        <v>46196</v>
      </c>
      <c r="B47" s="3" t="inlineStr">
        <is>
          <t>QUAL</t>
        </is>
      </c>
      <c r="C47" s="3" t="inlineStr">
        <is>
          <t>L0+</t>
        </is>
      </c>
      <c r="D47" s="3" t="inlineStr">
        <is>
          <t>BUY</t>
        </is>
      </c>
      <c r="E47" s="3" t="n">
        <v>0.20467</v>
      </c>
      <c r="F47" s="3" t="n">
        <v>215.37</v>
      </c>
      <c r="G47" s="3" t="n">
        <v>0.44</v>
      </c>
      <c r="H47">
        <f>IF(OR(D47="",E47=""),"",IF(D47="BUY",E47,-E47))</f>
        <v/>
      </c>
      <c r="I47" s="4">
        <f>IF(H47="","",ABS(H47)*F47)</f>
        <v/>
      </c>
      <c r="J47" s="4">
        <f>IF(H47="","",-H47*F47-G47)</f>
        <v/>
      </c>
      <c r="K47" s="5">
        <f>IF(OR(B47="",C47=""),"",SUMIFS($H$4:H46,$B$4:B46,B47,$C$4:C46,C47))</f>
        <v/>
      </c>
      <c r="L47" s="4">
        <f>IF(OR(B47="",C47=""),"",IFERROR(LOOKUP(2,1/(($B$4:B46=B47)*($C$4:C46=C47)),$O$4:O46),0))</f>
        <v/>
      </c>
      <c r="M47" s="4">
        <f>IF(K47=0,0,L47/K47)</f>
        <v/>
      </c>
      <c r="N47" s="4">
        <f>IF(H47&lt;0,ABS(H47)*(F47-M47)-G47,0)</f>
        <v/>
      </c>
      <c r="O47" s="4">
        <f>IF(H47="","",IF(H47&gt;0,L47+I47+G47,MAX(0,L47-ABS(H47)*M47)))</f>
        <v/>
      </c>
      <c r="P47" s="5">
        <f>IF(H47="","",K47+H47)</f>
        <v/>
      </c>
      <c r="Q47" s="4">
        <f>IF(P47=0,0,O47/P47)</f>
        <v/>
      </c>
      <c r="R47" s="3" t="inlineStr">
        <is>
          <t>红利复投</t>
        </is>
      </c>
      <c r="S47">
        <f>IF(H47="","",IF(P47&lt;0,"ERROR: Over-sold",IF(AND(H47&lt;0,K47=0),"ERROR: Sell w/o position","")))</f>
        <v/>
      </c>
    </row>
    <row r="48">
      <c r="A48" s="7" t="n">
        <v>46198</v>
      </c>
      <c r="B48" s="3" t="inlineStr">
        <is>
          <t>JEPQ</t>
        </is>
      </c>
      <c r="C48" s="3" t="inlineStr">
        <is>
          <t>L0+</t>
        </is>
      </c>
      <c r="D48" s="3" t="inlineStr">
        <is>
          <t>BUY</t>
        </is>
      </c>
      <c r="E48" s="3" t="n">
        <v>21</v>
      </c>
      <c r="F48" s="3" t="n">
        <v>60.63</v>
      </c>
      <c r="G48" s="3" t="n">
        <v>2.07</v>
      </c>
      <c r="H48">
        <f>IF(OR(D48="",E48=""),"",IF(D48="BUY",E48,-E48))</f>
        <v/>
      </c>
      <c r="I48" s="4">
        <f>IF(H48="","",ABS(H48)*F48)</f>
        <v/>
      </c>
      <c r="J48" s="4">
        <f>IF(H48="","",-H48*F48-G48)</f>
        <v/>
      </c>
      <c r="K48" s="5">
        <f>IF(OR(B48="",C48=""),"",SUMIFS($H$4:H47,$B$4:B47,B48,$C$4:C47,C48))</f>
        <v/>
      </c>
      <c r="L48" s="4">
        <f>IF(OR(B48="",C48=""),"",IFERROR(LOOKUP(2,1/(($B$4:B47=B48)*($C$4:C47=C48)),$O$4:O47),0))</f>
        <v/>
      </c>
      <c r="M48" s="4">
        <f>IF(K48=0,0,L48/K48)</f>
        <v/>
      </c>
      <c r="N48" s="4">
        <f>IF(H48&lt;0,ABS(H48)*(F48-M48)-G48,0)</f>
        <v/>
      </c>
      <c r="O48" s="4">
        <f>IF(H48="","",IF(H48&gt;0,L48+I48+G48,MAX(0,L48-ABS(H48)*M48)))</f>
        <v/>
      </c>
      <c r="P48" s="5">
        <f>IF(H48="","",K48+H48)</f>
        <v/>
      </c>
      <c r="Q48" s="4">
        <f>IF(P48=0,0,O48/P48)</f>
        <v/>
      </c>
      <c r="R48" s="3" t="inlineStr">
        <is>
          <t>扩大现金复利</t>
        </is>
      </c>
      <c r="S48">
        <f>IF(H48="","",IF(P48&lt;0,"ERROR: Over-sold",IF(AND(H48&lt;0,K48=0),"ERROR: Sell w/o position","")))</f>
        <v/>
      </c>
    </row>
    <row r="49">
      <c r="A49" s="3" t="n"/>
      <c r="B49" s="3" t="n"/>
      <c r="C49" s="3" t="n"/>
      <c r="D49" s="3" t="n"/>
      <c r="E49" s="3" t="n"/>
      <c r="F49" s="3" t="n"/>
      <c r="G49" s="3" t="n"/>
      <c r="H49">
        <f>IF(OR(D49="",E49=""),"",IF(D49="BUY",E49,-E49))</f>
        <v/>
      </c>
      <c r="I49" s="4">
        <f>IF(H49="","",ABS(H49)*F49)</f>
        <v/>
      </c>
      <c r="J49" s="4">
        <f>IF(H49="","",-H49*F49-G49)</f>
        <v/>
      </c>
      <c r="K49" s="5">
        <f>IF(OR(B49="",C49=""),"",SUMIFS($H$4:H48,$B$4:B48,B49,$C$4:C48,C49))</f>
        <v/>
      </c>
      <c r="L49" s="4">
        <f>IF(OR(B49="",C49=""),"",IFERROR(LOOKUP(2,1/(($B$4:B48=B49)*($C$4:C48=C49)),$O$4:O48),0))</f>
        <v/>
      </c>
      <c r="M49" s="4">
        <f>IF(K49=0,0,L49/K49)</f>
        <v/>
      </c>
      <c r="N49" s="4">
        <f>IF(H49&lt;0,ABS(H49)*(F49-M49)-G49,0)</f>
        <v/>
      </c>
      <c r="O49" s="4">
        <f>IF(H49="","",IF(H49&gt;0,L49+I49+G49,MAX(0,L49-ABS(H49)*M49)))</f>
        <v/>
      </c>
      <c r="P49" s="5">
        <f>IF(H49="","",K49+H49)</f>
        <v/>
      </c>
      <c r="Q49" s="4">
        <f>IF(P49=0,0,O49/P49)</f>
        <v/>
      </c>
      <c r="R49" s="3" t="n"/>
      <c r="S49">
        <f>IF(H49="","",IF(P49&lt;0,"ERROR: Over-sold",IF(AND(H49&lt;0,K49=0),"ERROR: Sell w/o position","")))</f>
        <v/>
      </c>
    </row>
    <row r="50">
      <c r="A50" s="3" t="n"/>
      <c r="B50" s="3" t="n"/>
      <c r="C50" s="3" t="n"/>
      <c r="D50" s="3" t="n"/>
      <c r="E50" s="3" t="n"/>
      <c r="F50" s="3" t="n"/>
      <c r="G50" s="3" t="n"/>
      <c r="H50">
        <f>IF(OR(D50="",E50=""),"",IF(D50="BUY",E50,-E50))</f>
        <v/>
      </c>
      <c r="I50" s="4">
        <f>IF(H50="","",ABS(H50)*F50)</f>
        <v/>
      </c>
      <c r="J50" s="4">
        <f>IF(H50="","",-H50*F50-G50)</f>
        <v/>
      </c>
      <c r="K50" s="5">
        <f>IF(OR(B50="",C50=""),"",SUMIFS($H$4:H49,$B$4:B49,B50,$C$4:C49,C50))</f>
        <v/>
      </c>
      <c r="L50" s="4">
        <f>IF(OR(B50="",C50=""),"",IFERROR(LOOKUP(2,1/(($B$4:B49=B50)*($C$4:C49=C50)),$O$4:O49),0))</f>
        <v/>
      </c>
      <c r="M50" s="4">
        <f>IF(K50=0,0,L50/K50)</f>
        <v/>
      </c>
      <c r="N50" s="4">
        <f>IF(H50&lt;0,ABS(H50)*(F50-M50)-G50,0)</f>
        <v/>
      </c>
      <c r="O50" s="4">
        <f>IF(H50="","",IF(H50&gt;0,L50+I50+G50,MAX(0,L50-ABS(H50)*M50)))</f>
        <v/>
      </c>
      <c r="P50" s="5">
        <f>IF(H50="","",K50+H50)</f>
        <v/>
      </c>
      <c r="Q50" s="4">
        <f>IF(P50=0,0,O50/P50)</f>
        <v/>
      </c>
      <c r="R50" s="3" t="n"/>
      <c r="S50">
        <f>IF(H50="","",IF(P50&lt;0,"ERROR: Over-sold",IF(AND(H50&lt;0,K50=0),"ERROR: Sell w/o position","")))</f>
        <v/>
      </c>
    </row>
    <row r="51">
      <c r="A51" s="3" t="n"/>
      <c r="B51" s="3" t="n"/>
      <c r="C51" s="3" t="n"/>
      <c r="D51" s="3" t="n"/>
      <c r="E51" s="3" t="n"/>
      <c r="F51" s="3" t="n"/>
      <c r="G51" s="3" t="n"/>
      <c r="H51">
        <f>IF(OR(D51="",E51=""),"",IF(D51="BUY",E51,-E51))</f>
        <v/>
      </c>
      <c r="I51" s="4">
        <f>IF(H51="","",ABS(H51)*F51)</f>
        <v/>
      </c>
      <c r="J51" s="4">
        <f>IF(H51="","",-H51*F51-G51)</f>
        <v/>
      </c>
      <c r="K51" s="5">
        <f>IF(OR(B51="",C51=""),"",SUMIFS($H$4:H50,$B$4:B50,B51,$C$4:C50,C51))</f>
        <v/>
      </c>
      <c r="L51" s="4">
        <f>IF(OR(B51="",C51=""),"",IFERROR(LOOKUP(2,1/(($B$4:B50=B51)*($C$4:C50=C51)),$O$4:O50),0))</f>
        <v/>
      </c>
      <c r="M51" s="4">
        <f>IF(K51=0,0,L51/K51)</f>
        <v/>
      </c>
      <c r="N51" s="4">
        <f>IF(H51&lt;0,ABS(H51)*(F51-M51)-G51,0)</f>
        <v/>
      </c>
      <c r="O51" s="4">
        <f>IF(H51="","",IF(H51&gt;0,L51+I51+G51,MAX(0,L51-ABS(H51)*M51)))</f>
        <v/>
      </c>
      <c r="P51" s="5">
        <f>IF(H51="","",K51+H51)</f>
        <v/>
      </c>
      <c r="Q51" s="4">
        <f>IF(P51=0,0,O51/P51)</f>
        <v/>
      </c>
      <c r="R51" s="3" t="n"/>
      <c r="S51">
        <f>IF(H51="","",IF(P51&lt;0,"ERROR: Over-sold",IF(AND(H51&lt;0,K51=0),"ERROR: Sell w/o position","")))</f>
        <v/>
      </c>
    </row>
    <row r="52">
      <c r="A52" s="3" t="n"/>
      <c r="B52" s="3" t="n"/>
      <c r="C52" s="3" t="n"/>
      <c r="D52" s="3" t="n"/>
      <c r="E52" s="3" t="n"/>
      <c r="F52" s="3" t="n"/>
      <c r="G52" s="3" t="n"/>
      <c r="H52">
        <f>IF(OR(D52="",E52=""),"",IF(D52="BUY",E52,-E52))</f>
        <v/>
      </c>
      <c r="I52" s="4">
        <f>IF(H52="","",ABS(H52)*F52)</f>
        <v/>
      </c>
      <c r="J52" s="4">
        <f>IF(H52="","",-H52*F52-G52)</f>
        <v/>
      </c>
      <c r="K52" s="5">
        <f>IF(OR(B52="",C52=""),"",SUMIFS($H$4:H51,$B$4:B51,B52,$C$4:C51,C52))</f>
        <v/>
      </c>
      <c r="L52" s="4">
        <f>IF(OR(B52="",C52=""),"",IFERROR(LOOKUP(2,1/(($B$4:B51=B52)*($C$4:C51=C52)),$O$4:O51),0))</f>
        <v/>
      </c>
      <c r="M52" s="4">
        <f>IF(K52=0,0,L52/K52)</f>
        <v/>
      </c>
      <c r="N52" s="4">
        <f>IF(H52&lt;0,ABS(H52)*(F52-M52)-G52,0)</f>
        <v/>
      </c>
      <c r="O52" s="4">
        <f>IF(H52="","",IF(H52&gt;0,L52+I52+G52,MAX(0,L52-ABS(H52)*M52)))</f>
        <v/>
      </c>
      <c r="P52" s="5">
        <f>IF(H52="","",K52+H52)</f>
        <v/>
      </c>
      <c r="Q52" s="4">
        <f>IF(P52=0,0,O52/P52)</f>
        <v/>
      </c>
      <c r="R52" s="3" t="n"/>
      <c r="S52">
        <f>IF(H52="","",IF(P52&lt;0,"ERROR: Over-sold",IF(AND(H52&lt;0,K52=0),"ERROR: Sell w/o position","")))</f>
        <v/>
      </c>
    </row>
    <row r="53">
      <c r="A53" s="3" t="n"/>
      <c r="B53" s="3" t="n"/>
      <c r="C53" s="3" t="n"/>
      <c r="D53" s="3" t="n"/>
      <c r="E53" s="3" t="n"/>
      <c r="F53" s="3" t="n"/>
      <c r="G53" s="3" t="n"/>
      <c r="H53">
        <f>IF(OR(D53="",E53=""),"",IF(D53="BUY",E53,-E53))</f>
        <v/>
      </c>
      <c r="I53" s="4">
        <f>IF(H53="","",ABS(H53)*F53)</f>
        <v/>
      </c>
      <c r="J53" s="4">
        <f>IF(H53="","",-H53*F53-G53)</f>
        <v/>
      </c>
      <c r="K53" s="5">
        <f>IF(OR(B53="",C53=""),"",SUMIFS($H$4:H52,$B$4:B52,B53,$C$4:C52,C53))</f>
        <v/>
      </c>
      <c r="L53" s="4">
        <f>IF(OR(B53="",C53=""),"",IFERROR(LOOKUP(2,1/(($B$4:B52=B53)*($C$4:C52=C53)),$O$4:O52),0))</f>
        <v/>
      </c>
      <c r="M53" s="4">
        <f>IF(K53=0,0,L53/K53)</f>
        <v/>
      </c>
      <c r="N53" s="4">
        <f>IF(H53&lt;0,ABS(H53)*(F53-M53)-G53,0)</f>
        <v/>
      </c>
      <c r="O53" s="4">
        <f>IF(H53="","",IF(H53&gt;0,L53+I53+G53,MAX(0,L53-ABS(H53)*M53)))</f>
        <v/>
      </c>
      <c r="P53" s="5">
        <f>IF(H53="","",K53+H53)</f>
        <v/>
      </c>
      <c r="Q53" s="4">
        <f>IF(P53=0,0,O53/P53)</f>
        <v/>
      </c>
      <c r="R53" s="3" t="n"/>
      <c r="S53">
        <f>IF(H53="","",IF(P53&lt;0,"ERROR: Over-sold",IF(AND(H53&lt;0,K53=0),"ERROR: Sell w/o position","")))</f>
        <v/>
      </c>
    </row>
    <row r="54">
      <c r="A54" s="3" t="n"/>
      <c r="B54" s="3" t="n"/>
      <c r="C54" s="3" t="n"/>
      <c r="D54" s="3" t="n"/>
      <c r="E54" s="3" t="n"/>
      <c r="F54" s="3" t="n"/>
      <c r="G54" s="3" t="n"/>
      <c r="H54">
        <f>IF(OR(D54="",E54=""),"",IF(D54="BUY",E54,-E54))</f>
        <v/>
      </c>
      <c r="I54" s="4">
        <f>IF(H54="","",ABS(H54)*F54)</f>
        <v/>
      </c>
      <c r="J54" s="4">
        <f>IF(H54="","",-H54*F54-G54)</f>
        <v/>
      </c>
      <c r="K54" s="5">
        <f>IF(OR(B54="",C54=""),"",SUMIFS($H$4:H53,$B$4:B53,B54,$C$4:C53,C54))</f>
        <v/>
      </c>
      <c r="L54" s="4">
        <f>IF(OR(B54="",C54=""),"",IFERROR(LOOKUP(2,1/(($B$4:B53=B54)*($C$4:C53=C54)),$O$4:O53),0))</f>
        <v/>
      </c>
      <c r="M54" s="4">
        <f>IF(K54=0,0,L54/K54)</f>
        <v/>
      </c>
      <c r="N54" s="4">
        <f>IF(H54&lt;0,ABS(H54)*(F54-M54)-G54,0)</f>
        <v/>
      </c>
      <c r="O54" s="4">
        <f>IF(H54="","",IF(H54&gt;0,L54+I54+G54,MAX(0,L54-ABS(H54)*M54)))</f>
        <v/>
      </c>
      <c r="P54" s="5">
        <f>IF(H54="","",K54+H54)</f>
        <v/>
      </c>
      <c r="Q54" s="4">
        <f>IF(P54=0,0,O54/P54)</f>
        <v/>
      </c>
      <c r="R54" s="3" t="n"/>
      <c r="S54">
        <f>IF(H54="","",IF(P54&lt;0,"ERROR: Over-sold",IF(AND(H54&lt;0,K54=0),"ERROR: Sell w/o position","")))</f>
        <v/>
      </c>
    </row>
    <row r="55">
      <c r="A55" s="3" t="n"/>
      <c r="B55" s="3" t="n"/>
      <c r="C55" s="3" t="n"/>
      <c r="D55" s="3" t="n"/>
      <c r="E55" s="3" t="n"/>
      <c r="F55" s="3" t="n"/>
      <c r="G55" s="3" t="n"/>
      <c r="H55">
        <f>IF(OR(D55="",E55=""),"",IF(D55="BUY",E55,-E55))</f>
        <v/>
      </c>
      <c r="I55" s="4">
        <f>IF(H55="","",ABS(H55)*F55)</f>
        <v/>
      </c>
      <c r="J55" s="4">
        <f>IF(H55="","",-H55*F55-G55)</f>
        <v/>
      </c>
      <c r="K55" s="5">
        <f>IF(OR(B55="",C55=""),"",SUMIFS($H$4:H54,$B$4:B54,B55,$C$4:C54,C55))</f>
        <v/>
      </c>
      <c r="L55" s="4">
        <f>IF(OR(B55="",C55=""),"",IFERROR(LOOKUP(2,1/(($B$4:B54=B55)*($C$4:C54=C55)),$O$4:O54),0))</f>
        <v/>
      </c>
      <c r="M55" s="4">
        <f>IF(K55=0,0,L55/K55)</f>
        <v/>
      </c>
      <c r="N55" s="4">
        <f>IF(H55&lt;0,ABS(H55)*(F55-M55)-G55,0)</f>
        <v/>
      </c>
      <c r="O55" s="4">
        <f>IF(H55="","",IF(H55&gt;0,L55+I55+G55,MAX(0,L55-ABS(H55)*M55)))</f>
        <v/>
      </c>
      <c r="P55" s="5">
        <f>IF(H55="","",K55+H55)</f>
        <v/>
      </c>
      <c r="Q55" s="4">
        <f>IF(P55=0,0,O55/P55)</f>
        <v/>
      </c>
      <c r="R55" s="3" t="n"/>
      <c r="S55">
        <f>IF(H55="","",IF(P55&lt;0,"ERROR: Over-sold",IF(AND(H55&lt;0,K55=0),"ERROR: Sell w/o position","")))</f>
        <v/>
      </c>
    </row>
    <row r="56">
      <c r="A56" s="3" t="n"/>
      <c r="B56" s="3" t="n"/>
      <c r="C56" s="3" t="n"/>
      <c r="D56" s="3" t="n"/>
      <c r="E56" s="3" t="n"/>
      <c r="F56" s="3" t="n"/>
      <c r="G56" s="3" t="n"/>
      <c r="H56">
        <f>IF(OR(D56="",E56=""),"",IF(D56="BUY",E56,-E56))</f>
        <v/>
      </c>
      <c r="I56" s="4">
        <f>IF(H56="","",ABS(H56)*F56)</f>
        <v/>
      </c>
      <c r="J56" s="4">
        <f>IF(H56="","",-H56*F56-G56)</f>
        <v/>
      </c>
      <c r="K56" s="5">
        <f>IF(OR(B56="",C56=""),"",SUMIFS($H$4:H55,$B$4:B55,B56,$C$4:C55,C56))</f>
        <v/>
      </c>
      <c r="L56" s="4">
        <f>IF(OR(B56="",C56=""),"",IFERROR(LOOKUP(2,1/(($B$4:B55=B56)*($C$4:C55=C56)),$O$4:O55),0))</f>
        <v/>
      </c>
      <c r="M56" s="4">
        <f>IF(K56=0,0,L56/K56)</f>
        <v/>
      </c>
      <c r="N56" s="4">
        <f>IF(H56&lt;0,ABS(H56)*(F56-M56)-G56,0)</f>
        <v/>
      </c>
      <c r="O56" s="4">
        <f>IF(H56="","",IF(H56&gt;0,L56+I56+G56,MAX(0,L56-ABS(H56)*M56)))</f>
        <v/>
      </c>
      <c r="P56" s="5">
        <f>IF(H56="","",K56+H56)</f>
        <v/>
      </c>
      <c r="Q56" s="4">
        <f>IF(P56=0,0,O56/P56)</f>
        <v/>
      </c>
      <c r="R56" s="3" t="n"/>
      <c r="S56">
        <f>IF(H56="","",IF(P56&lt;0,"ERROR: Over-sold",IF(AND(H56&lt;0,K56=0),"ERROR: Sell w/o position","")))</f>
        <v/>
      </c>
    </row>
    <row r="57">
      <c r="A57" s="3" t="n"/>
      <c r="B57" s="3" t="n"/>
      <c r="C57" s="3" t="n"/>
      <c r="D57" s="3" t="n"/>
      <c r="E57" s="3" t="n"/>
      <c r="F57" s="3" t="n"/>
      <c r="G57" s="3" t="n"/>
      <c r="H57">
        <f>IF(OR(D57="",E57=""),"",IF(D57="BUY",E57,-E57))</f>
        <v/>
      </c>
      <c r="I57" s="4">
        <f>IF(H57="","",ABS(H57)*F57)</f>
        <v/>
      </c>
      <c r="J57" s="4">
        <f>IF(H57="","",-H57*F57-G57)</f>
        <v/>
      </c>
      <c r="K57" s="5">
        <f>IF(OR(B57="",C57=""),"",SUMIFS($H$4:H56,$B$4:B56,B57,$C$4:C56,C57))</f>
        <v/>
      </c>
      <c r="L57" s="4">
        <f>IF(OR(B57="",C57=""),"",IFERROR(LOOKUP(2,1/(($B$4:B56=B57)*($C$4:C56=C57)),$O$4:O56),0))</f>
        <v/>
      </c>
      <c r="M57" s="4">
        <f>IF(K57=0,0,L57/K57)</f>
        <v/>
      </c>
      <c r="N57" s="4">
        <f>IF(H57&lt;0,ABS(H57)*(F57-M57)-G57,0)</f>
        <v/>
      </c>
      <c r="O57" s="4">
        <f>IF(H57="","",IF(H57&gt;0,L57+I57+G57,MAX(0,L57-ABS(H57)*M57)))</f>
        <v/>
      </c>
      <c r="P57" s="5">
        <f>IF(H57="","",K57+H57)</f>
        <v/>
      </c>
      <c r="Q57" s="4">
        <f>IF(P57=0,0,O57/P57)</f>
        <v/>
      </c>
      <c r="R57" s="3" t="n"/>
      <c r="S57">
        <f>IF(H57="","",IF(P57&lt;0,"ERROR: Over-sold",IF(AND(H57&lt;0,K57=0),"ERROR: Sell w/o position","")))</f>
        <v/>
      </c>
    </row>
    <row r="58">
      <c r="A58" s="3" t="n"/>
      <c r="B58" s="3" t="n"/>
      <c r="C58" s="3" t="n"/>
      <c r="D58" s="3" t="n"/>
      <c r="E58" s="3" t="n"/>
      <c r="F58" s="3" t="n"/>
      <c r="G58" s="3" t="n"/>
      <c r="H58">
        <f>IF(OR(D58="",E58=""),"",IF(D58="BUY",E58,-E58))</f>
        <v/>
      </c>
      <c r="I58" s="4">
        <f>IF(H58="","",ABS(H58)*F58)</f>
        <v/>
      </c>
      <c r="J58" s="4">
        <f>IF(H58="","",-H58*F58-G58)</f>
        <v/>
      </c>
      <c r="K58" s="5">
        <f>IF(OR(B58="",C58=""),"",SUMIFS($H$4:H57,$B$4:B57,B58,$C$4:C57,C58))</f>
        <v/>
      </c>
      <c r="L58" s="4">
        <f>IF(OR(B58="",C58=""),"",IFERROR(LOOKUP(2,1/(($B$4:B57=B58)*($C$4:C57=C58)),$O$4:O57),0))</f>
        <v/>
      </c>
      <c r="M58" s="4">
        <f>IF(K58=0,0,L58/K58)</f>
        <v/>
      </c>
      <c r="N58" s="4">
        <f>IF(H58&lt;0,ABS(H58)*(F58-M58)-G58,0)</f>
        <v/>
      </c>
      <c r="O58" s="4">
        <f>IF(H58="","",IF(H58&gt;0,L58+I58+G58,MAX(0,L58-ABS(H58)*M58)))</f>
        <v/>
      </c>
      <c r="P58" s="5">
        <f>IF(H58="","",K58+H58)</f>
        <v/>
      </c>
      <c r="Q58" s="4">
        <f>IF(P58=0,0,O58/P58)</f>
        <v/>
      </c>
      <c r="R58" s="3" t="n"/>
      <c r="S58">
        <f>IF(H58="","",IF(P58&lt;0,"ERROR: Over-sold",IF(AND(H58&lt;0,K58=0),"ERROR: Sell w/o position","")))</f>
        <v/>
      </c>
    </row>
    <row r="59">
      <c r="A59" s="3" t="n"/>
      <c r="B59" s="3" t="n"/>
      <c r="C59" s="3" t="n"/>
      <c r="D59" s="3" t="n"/>
      <c r="E59" s="3" t="n"/>
      <c r="F59" s="3" t="n"/>
      <c r="G59" s="3" t="n"/>
      <c r="H59">
        <f>IF(OR(D59="",E59=""),"",IF(D59="BUY",E59,-E59))</f>
        <v/>
      </c>
      <c r="I59" s="4">
        <f>IF(H59="","",ABS(H59)*F59)</f>
        <v/>
      </c>
      <c r="J59" s="4">
        <f>IF(H59="","",-H59*F59-G59)</f>
        <v/>
      </c>
      <c r="K59" s="5">
        <f>IF(OR(B59="",C59=""),"",SUMIFS($H$4:H58,$B$4:B58,B59,$C$4:C58,C59))</f>
        <v/>
      </c>
      <c r="L59" s="4">
        <f>IF(OR(B59="",C59=""),"",IFERROR(LOOKUP(2,1/(($B$4:B58=B59)*($C$4:C58=C59)),$O$4:O58),0))</f>
        <v/>
      </c>
      <c r="M59" s="4">
        <f>IF(K59=0,0,L59/K59)</f>
        <v/>
      </c>
      <c r="N59" s="4">
        <f>IF(H59&lt;0,ABS(H59)*(F59-M59)-G59,0)</f>
        <v/>
      </c>
      <c r="O59" s="4">
        <f>IF(H59="","",IF(H59&gt;0,L59+I59+G59,MAX(0,L59-ABS(H59)*M59)))</f>
        <v/>
      </c>
      <c r="P59" s="5">
        <f>IF(H59="","",K59+H59)</f>
        <v/>
      </c>
      <c r="Q59" s="4">
        <f>IF(P59=0,0,O59/P59)</f>
        <v/>
      </c>
      <c r="R59" s="3" t="n"/>
      <c r="S59">
        <f>IF(H59="","",IF(P59&lt;0,"ERROR: Over-sold",IF(AND(H59&lt;0,K59=0),"ERROR: Sell w/o position","")))</f>
        <v/>
      </c>
    </row>
    <row r="60">
      <c r="A60" s="3" t="n"/>
      <c r="B60" s="3" t="n"/>
      <c r="C60" s="3" t="n"/>
      <c r="D60" s="3" t="n"/>
      <c r="E60" s="3" t="n"/>
      <c r="F60" s="3" t="n"/>
      <c r="G60" s="3" t="n"/>
      <c r="H60">
        <f>IF(OR(D60="",E60=""),"",IF(D60="BUY",E60,-E60))</f>
        <v/>
      </c>
      <c r="I60" s="4">
        <f>IF(H60="","",ABS(H60)*F60)</f>
        <v/>
      </c>
      <c r="J60" s="4">
        <f>IF(H60="","",-H60*F60-G60)</f>
        <v/>
      </c>
      <c r="K60" s="5">
        <f>IF(OR(B60="",C60=""),"",SUMIFS($H$4:H59,$B$4:B59,B60,$C$4:C59,C60))</f>
        <v/>
      </c>
      <c r="L60" s="4">
        <f>IF(OR(B60="",C60=""),"",IFERROR(LOOKUP(2,1/(($B$4:B59=B60)*($C$4:C59=C60)),$O$4:O59),0))</f>
        <v/>
      </c>
      <c r="M60" s="4">
        <f>IF(K60=0,0,L60/K60)</f>
        <v/>
      </c>
      <c r="N60" s="4">
        <f>IF(H60&lt;0,ABS(H60)*(F60-M60)-G60,0)</f>
        <v/>
      </c>
      <c r="O60" s="4">
        <f>IF(H60="","",IF(H60&gt;0,L60+I60+G60,MAX(0,L60-ABS(H60)*M60)))</f>
        <v/>
      </c>
      <c r="P60" s="5">
        <f>IF(H60="","",K60+H60)</f>
        <v/>
      </c>
      <c r="Q60" s="4">
        <f>IF(P60=0,0,O60/P60)</f>
        <v/>
      </c>
      <c r="R60" s="3" t="n"/>
      <c r="S60">
        <f>IF(H60="","",IF(P60&lt;0,"ERROR: Over-sold",IF(AND(H60&lt;0,K60=0),"ERROR: Sell w/o position","")))</f>
        <v/>
      </c>
    </row>
    <row r="61">
      <c r="A61" s="3" t="n"/>
      <c r="B61" s="3" t="n"/>
      <c r="C61" s="3" t="n"/>
      <c r="D61" s="3" t="n"/>
      <c r="E61" s="3" t="n"/>
      <c r="F61" s="3" t="n"/>
      <c r="G61" s="3" t="n"/>
      <c r="H61">
        <f>IF(OR(D61="",E61=""),"",IF(D61="BUY",E61,-E61))</f>
        <v/>
      </c>
      <c r="I61" s="4">
        <f>IF(H61="","",ABS(H61)*F61)</f>
        <v/>
      </c>
      <c r="J61" s="4">
        <f>IF(H61="","",-H61*F61-G61)</f>
        <v/>
      </c>
      <c r="K61" s="5">
        <f>IF(OR(B61="",C61=""),"",SUMIFS($H$4:H60,$B$4:B60,B61,$C$4:C60,C61))</f>
        <v/>
      </c>
      <c r="L61" s="4">
        <f>IF(OR(B61="",C61=""),"",IFERROR(LOOKUP(2,1/(($B$4:B60=B61)*($C$4:C60=C61)),$O$4:O60),0))</f>
        <v/>
      </c>
      <c r="M61" s="4">
        <f>IF(K61=0,0,L61/K61)</f>
        <v/>
      </c>
      <c r="N61" s="4">
        <f>IF(H61&lt;0,ABS(H61)*(F61-M61)-G61,0)</f>
        <v/>
      </c>
      <c r="O61" s="4">
        <f>IF(H61="","",IF(H61&gt;0,L61+I61+G61,MAX(0,L61-ABS(H61)*M61)))</f>
        <v/>
      </c>
      <c r="P61" s="5">
        <f>IF(H61="","",K61+H61)</f>
        <v/>
      </c>
      <c r="Q61" s="4">
        <f>IF(P61=0,0,O61/P61)</f>
        <v/>
      </c>
      <c r="R61" s="3" t="n"/>
      <c r="S61">
        <f>IF(H61="","",IF(P61&lt;0,"ERROR: Over-sold",IF(AND(H61&lt;0,K61=0),"ERROR: Sell w/o position","")))</f>
        <v/>
      </c>
    </row>
    <row r="62">
      <c r="A62" s="3" t="n"/>
      <c r="B62" s="3" t="n"/>
      <c r="C62" s="3" t="n"/>
      <c r="D62" s="3" t="n"/>
      <c r="E62" s="3" t="n"/>
      <c r="F62" s="3" t="n"/>
      <c r="G62" s="3" t="n"/>
      <c r="H62">
        <f>IF(OR(D62="",E62=""),"",IF(D62="BUY",E62,-E62))</f>
        <v/>
      </c>
      <c r="I62" s="4">
        <f>IF(H62="","",ABS(H62)*F62)</f>
        <v/>
      </c>
      <c r="J62" s="4">
        <f>IF(H62="","",-H62*F62-G62)</f>
        <v/>
      </c>
      <c r="K62" s="5">
        <f>IF(OR(B62="",C62=""),"",SUMIFS($H$4:H61,$B$4:B61,B62,$C$4:C61,C62))</f>
        <v/>
      </c>
      <c r="L62" s="4">
        <f>IF(OR(B62="",C62=""),"",IFERROR(LOOKUP(2,1/(($B$4:B61=B62)*($C$4:C61=C62)),$O$4:O61),0))</f>
        <v/>
      </c>
      <c r="M62" s="4">
        <f>IF(K62=0,0,L62/K62)</f>
        <v/>
      </c>
      <c r="N62" s="4">
        <f>IF(H62&lt;0,ABS(H62)*(F62-M62)-G62,0)</f>
        <v/>
      </c>
      <c r="O62" s="4">
        <f>IF(H62="","",IF(H62&gt;0,L62+I62+G62,MAX(0,L62-ABS(H62)*M62)))</f>
        <v/>
      </c>
      <c r="P62" s="5">
        <f>IF(H62="","",K62+H62)</f>
        <v/>
      </c>
      <c r="Q62" s="4">
        <f>IF(P62=0,0,O62/P62)</f>
        <v/>
      </c>
      <c r="R62" s="3" t="n"/>
      <c r="S62">
        <f>IF(H62="","",IF(P62&lt;0,"ERROR: Over-sold",IF(AND(H62&lt;0,K62=0),"ERROR: Sell w/o position","")))</f>
        <v/>
      </c>
    </row>
    <row r="63">
      <c r="A63" s="3" t="n"/>
      <c r="B63" s="3" t="n"/>
      <c r="C63" s="3" t="n"/>
      <c r="D63" s="3" t="n"/>
      <c r="E63" s="3" t="n"/>
      <c r="F63" s="3" t="n"/>
      <c r="G63" s="3" t="n"/>
      <c r="H63">
        <f>IF(OR(D63="",E63=""),"",IF(D63="BUY",E63,-E63))</f>
        <v/>
      </c>
      <c r="I63" s="4">
        <f>IF(H63="","",ABS(H63)*F63)</f>
        <v/>
      </c>
      <c r="J63" s="4">
        <f>IF(H63="","",-H63*F63-G63)</f>
        <v/>
      </c>
      <c r="K63" s="5">
        <f>IF(OR(B63="",C63=""),"",SUMIFS($H$4:H62,$B$4:B62,B63,$C$4:C62,C63))</f>
        <v/>
      </c>
      <c r="L63" s="4">
        <f>IF(OR(B63="",C63=""),"",IFERROR(LOOKUP(2,1/(($B$4:B62=B63)*($C$4:C62=C63)),$O$4:O62),0))</f>
        <v/>
      </c>
      <c r="M63" s="4">
        <f>IF(K63=0,0,L63/K63)</f>
        <v/>
      </c>
      <c r="N63" s="4">
        <f>IF(H63&lt;0,ABS(H63)*(F63-M63)-G63,0)</f>
        <v/>
      </c>
      <c r="O63" s="4">
        <f>IF(H63="","",IF(H63&gt;0,L63+I63+G63,MAX(0,L63-ABS(H63)*M63)))</f>
        <v/>
      </c>
      <c r="P63" s="5">
        <f>IF(H63="","",K63+H63)</f>
        <v/>
      </c>
      <c r="Q63" s="4">
        <f>IF(P63=0,0,O63/P63)</f>
        <v/>
      </c>
      <c r="R63" s="3" t="n"/>
      <c r="S63">
        <f>IF(H63="","",IF(P63&lt;0,"ERROR: Over-sold",IF(AND(H63&lt;0,K63=0),"ERROR: Sell w/o position","")))</f>
        <v/>
      </c>
    </row>
    <row r="64">
      <c r="A64" s="3" t="n"/>
      <c r="B64" s="3" t="n"/>
      <c r="C64" s="3" t="n"/>
      <c r="D64" s="3" t="n"/>
      <c r="E64" s="3" t="n"/>
      <c r="F64" s="3" t="n"/>
      <c r="G64" s="3" t="n"/>
      <c r="H64">
        <f>IF(OR(D64="",E64=""),"",IF(D64="BUY",E64,-E64))</f>
        <v/>
      </c>
      <c r="I64" s="4">
        <f>IF(H64="","",ABS(H64)*F64)</f>
        <v/>
      </c>
      <c r="J64" s="4">
        <f>IF(H64="","",-H64*F64-G64)</f>
        <v/>
      </c>
      <c r="K64" s="5">
        <f>IF(OR(B64="",C64=""),"",SUMIFS($H$4:H63,$B$4:B63,B64,$C$4:C63,C64))</f>
        <v/>
      </c>
      <c r="L64" s="4">
        <f>IF(OR(B64="",C64=""),"",IFERROR(LOOKUP(2,1/(($B$4:B63=B64)*($C$4:C63=C64)),$O$4:O63),0))</f>
        <v/>
      </c>
      <c r="M64" s="4">
        <f>IF(K64=0,0,L64/K64)</f>
        <v/>
      </c>
      <c r="N64" s="4">
        <f>IF(H64&lt;0,ABS(H64)*(F64-M64)-G64,0)</f>
        <v/>
      </c>
      <c r="O64" s="4">
        <f>IF(H64="","",IF(H64&gt;0,L64+I64+G64,MAX(0,L64-ABS(H64)*M64)))</f>
        <v/>
      </c>
      <c r="P64" s="5">
        <f>IF(H64="","",K64+H64)</f>
        <v/>
      </c>
      <c r="Q64" s="4">
        <f>IF(P64=0,0,O64/P64)</f>
        <v/>
      </c>
      <c r="R64" s="3" t="n"/>
      <c r="S64">
        <f>IF(H64="","",IF(P64&lt;0,"ERROR: Over-sold",IF(AND(H64&lt;0,K64=0),"ERROR: Sell w/o position","")))</f>
        <v/>
      </c>
    </row>
    <row r="65">
      <c r="A65" s="3" t="n"/>
      <c r="B65" s="3" t="n"/>
      <c r="C65" s="3" t="n"/>
      <c r="D65" s="3" t="n"/>
      <c r="E65" s="3" t="n"/>
      <c r="F65" s="3" t="n"/>
      <c r="G65" s="3" t="n"/>
      <c r="H65">
        <f>IF(OR(D65="",E65=""),"",IF(D65="BUY",E65,-E65))</f>
        <v/>
      </c>
      <c r="I65" s="4">
        <f>IF(H65="","",ABS(H65)*F65)</f>
        <v/>
      </c>
      <c r="J65" s="4">
        <f>IF(H65="","",-H65*F65-G65)</f>
        <v/>
      </c>
      <c r="K65" s="5">
        <f>IF(OR(B65="",C65=""),"",SUMIFS($H$4:H64,$B$4:B64,B65,$C$4:C64,C65))</f>
        <v/>
      </c>
      <c r="L65" s="4">
        <f>IF(OR(B65="",C65=""),"",IFERROR(LOOKUP(2,1/(($B$4:B64=B65)*($C$4:C64=C65)),$O$4:O64),0))</f>
        <v/>
      </c>
      <c r="M65" s="4">
        <f>IF(K65=0,0,L65/K65)</f>
        <v/>
      </c>
      <c r="N65" s="4">
        <f>IF(H65&lt;0,ABS(H65)*(F65-M65)-G65,0)</f>
        <v/>
      </c>
      <c r="O65" s="4">
        <f>IF(H65="","",IF(H65&gt;0,L65+I65+G65,MAX(0,L65-ABS(H65)*M65)))</f>
        <v/>
      </c>
      <c r="P65" s="5">
        <f>IF(H65="","",K65+H65)</f>
        <v/>
      </c>
      <c r="Q65" s="4">
        <f>IF(P65=0,0,O65/P65)</f>
        <v/>
      </c>
      <c r="R65" s="3" t="n"/>
      <c r="S65">
        <f>IF(H65="","",IF(P65&lt;0,"ERROR: Over-sold",IF(AND(H65&lt;0,K65=0),"ERROR: Sell w/o position","")))</f>
        <v/>
      </c>
    </row>
    <row r="66">
      <c r="A66" s="3" t="n"/>
      <c r="B66" s="3" t="n"/>
      <c r="C66" s="3" t="n"/>
      <c r="D66" s="3" t="n"/>
      <c r="E66" s="3" t="n"/>
      <c r="F66" s="3" t="n"/>
      <c r="G66" s="3" t="n"/>
      <c r="H66">
        <f>IF(OR(D66="",E66=""),"",IF(D66="BUY",E66,-E66))</f>
        <v/>
      </c>
      <c r="I66" s="4">
        <f>IF(H66="","",ABS(H66)*F66)</f>
        <v/>
      </c>
      <c r="J66" s="4">
        <f>IF(H66="","",-H66*F66-G66)</f>
        <v/>
      </c>
      <c r="K66" s="5">
        <f>IF(OR(B66="",C66=""),"",SUMIFS($H$4:H65,$B$4:B65,B66,$C$4:C65,C66))</f>
        <v/>
      </c>
      <c r="L66" s="4">
        <f>IF(OR(B66="",C66=""),"",IFERROR(LOOKUP(2,1/(($B$4:B65=B66)*($C$4:C65=C66)),$O$4:O65),0))</f>
        <v/>
      </c>
      <c r="M66" s="4">
        <f>IF(K66=0,0,L66/K66)</f>
        <v/>
      </c>
      <c r="N66" s="4">
        <f>IF(H66&lt;0,ABS(H66)*(F66-M66)-G66,0)</f>
        <v/>
      </c>
      <c r="O66" s="4">
        <f>IF(H66="","",IF(H66&gt;0,L66+I66+G66,MAX(0,L66-ABS(H66)*M66)))</f>
        <v/>
      </c>
      <c r="P66" s="5">
        <f>IF(H66="","",K66+H66)</f>
        <v/>
      </c>
      <c r="Q66" s="4">
        <f>IF(P66=0,0,O66/P66)</f>
        <v/>
      </c>
      <c r="R66" s="3" t="n"/>
      <c r="S66">
        <f>IF(H66="","",IF(P66&lt;0,"ERROR: Over-sold",IF(AND(H66&lt;0,K66=0),"ERROR: Sell w/o position","")))</f>
        <v/>
      </c>
    </row>
    <row r="67">
      <c r="A67" s="3" t="n"/>
      <c r="B67" s="3" t="n"/>
      <c r="C67" s="3" t="n"/>
      <c r="D67" s="3" t="n"/>
      <c r="E67" s="3" t="n"/>
      <c r="F67" s="3" t="n"/>
      <c r="G67" s="3" t="n"/>
      <c r="H67">
        <f>IF(OR(D67="",E67=""),"",IF(D67="BUY",E67,-E67))</f>
        <v/>
      </c>
      <c r="I67" s="4">
        <f>IF(H67="","",ABS(H67)*F67)</f>
        <v/>
      </c>
      <c r="J67" s="4">
        <f>IF(H67="","",-H67*F67-G67)</f>
        <v/>
      </c>
      <c r="K67" s="5">
        <f>IF(OR(B67="",C67=""),"",SUMIFS($H$4:H66,$B$4:B66,B67,$C$4:C66,C67))</f>
        <v/>
      </c>
      <c r="L67" s="4">
        <f>IF(OR(B67="",C67=""),"",IFERROR(LOOKUP(2,1/(($B$4:B66=B67)*($C$4:C66=C67)),$O$4:O66),0))</f>
        <v/>
      </c>
      <c r="M67" s="4">
        <f>IF(K67=0,0,L67/K67)</f>
        <v/>
      </c>
      <c r="N67" s="4">
        <f>IF(H67&lt;0,ABS(H67)*(F67-M67)-G67,0)</f>
        <v/>
      </c>
      <c r="O67" s="4">
        <f>IF(H67="","",IF(H67&gt;0,L67+I67+G67,MAX(0,L67-ABS(H67)*M67)))</f>
        <v/>
      </c>
      <c r="P67" s="5">
        <f>IF(H67="","",K67+H67)</f>
        <v/>
      </c>
      <c r="Q67" s="4">
        <f>IF(P67=0,0,O67/P67)</f>
        <v/>
      </c>
      <c r="R67" s="3" t="n"/>
      <c r="S67">
        <f>IF(H67="","",IF(P67&lt;0,"ERROR: Over-sold",IF(AND(H67&lt;0,K67=0),"ERROR: Sell w/o position","")))</f>
        <v/>
      </c>
    </row>
    <row r="68">
      <c r="A68" s="3" t="n"/>
      <c r="B68" s="3" t="n"/>
      <c r="C68" s="3" t="n"/>
      <c r="D68" s="3" t="n"/>
      <c r="E68" s="3" t="n"/>
      <c r="F68" s="3" t="n"/>
      <c r="G68" s="3" t="n"/>
      <c r="H68">
        <f>IF(OR(D68="",E68=""),"",IF(D68="BUY",E68,-E68))</f>
        <v/>
      </c>
      <c r="I68" s="4">
        <f>IF(H68="","",ABS(H68)*F68)</f>
        <v/>
      </c>
      <c r="J68" s="4">
        <f>IF(H68="","",-H68*F68-G68)</f>
        <v/>
      </c>
      <c r="K68" s="5">
        <f>IF(OR(B68="",C68=""),"",SUMIFS($H$4:H67,$B$4:B67,B68,$C$4:C67,C68))</f>
        <v/>
      </c>
      <c r="L68" s="4">
        <f>IF(OR(B68="",C68=""),"",IFERROR(LOOKUP(2,1/(($B$4:B67=B68)*($C$4:C67=C68)),$O$4:O67),0))</f>
        <v/>
      </c>
      <c r="M68" s="4">
        <f>IF(K68=0,0,L68/K68)</f>
        <v/>
      </c>
      <c r="N68" s="4">
        <f>IF(H68&lt;0,ABS(H68)*(F68-M68)-G68,0)</f>
        <v/>
      </c>
      <c r="O68" s="4">
        <f>IF(H68="","",IF(H68&gt;0,L68+I68+G68,MAX(0,L68-ABS(H68)*M68)))</f>
        <v/>
      </c>
      <c r="P68" s="5">
        <f>IF(H68="","",K68+H68)</f>
        <v/>
      </c>
      <c r="Q68" s="4">
        <f>IF(P68=0,0,O68/P68)</f>
        <v/>
      </c>
      <c r="R68" s="3" t="n"/>
      <c r="S68">
        <f>IF(H68="","",IF(P68&lt;0,"ERROR: Over-sold",IF(AND(H68&lt;0,K68=0),"ERROR: Sell w/o position","")))</f>
        <v/>
      </c>
    </row>
    <row r="69">
      <c r="A69" s="3" t="n"/>
      <c r="B69" s="3" t="n"/>
      <c r="C69" s="3" t="n"/>
      <c r="D69" s="3" t="n"/>
      <c r="E69" s="3" t="n"/>
      <c r="F69" s="3" t="n"/>
      <c r="G69" s="3" t="n"/>
      <c r="H69">
        <f>IF(OR(D69="",E69=""),"",IF(D69="BUY",E69,-E69))</f>
        <v/>
      </c>
      <c r="I69" s="4">
        <f>IF(H69="","",ABS(H69)*F69)</f>
        <v/>
      </c>
      <c r="J69" s="4">
        <f>IF(H69="","",-H69*F69-G69)</f>
        <v/>
      </c>
      <c r="K69" s="5">
        <f>IF(OR(B69="",C69=""),"",SUMIFS($H$4:H68,$B$4:B68,B69,$C$4:C68,C69))</f>
        <v/>
      </c>
      <c r="L69" s="4">
        <f>IF(OR(B69="",C69=""),"",IFERROR(LOOKUP(2,1/(($B$4:B68=B69)*($C$4:C68=C69)),$O$4:O68),0))</f>
        <v/>
      </c>
      <c r="M69" s="4">
        <f>IF(K69=0,0,L69/K69)</f>
        <v/>
      </c>
      <c r="N69" s="4">
        <f>IF(H69&lt;0,ABS(H69)*(F69-M69)-G69,0)</f>
        <v/>
      </c>
      <c r="O69" s="4">
        <f>IF(H69="","",IF(H69&gt;0,L69+I69+G69,MAX(0,L69-ABS(H69)*M69)))</f>
        <v/>
      </c>
      <c r="P69" s="5">
        <f>IF(H69="","",K69+H69)</f>
        <v/>
      </c>
      <c r="Q69" s="4">
        <f>IF(P69=0,0,O69/P69)</f>
        <v/>
      </c>
      <c r="R69" s="3" t="n"/>
      <c r="S69">
        <f>IF(H69="","",IF(P69&lt;0,"ERROR: Over-sold",IF(AND(H69&lt;0,K69=0),"ERROR: Sell w/o position","")))</f>
        <v/>
      </c>
    </row>
    <row r="70">
      <c r="A70" s="3" t="n"/>
      <c r="B70" s="3" t="n"/>
      <c r="C70" s="3" t="n"/>
      <c r="D70" s="3" t="n"/>
      <c r="E70" s="3" t="n"/>
      <c r="F70" s="3" t="n"/>
      <c r="G70" s="3" t="n"/>
      <c r="H70">
        <f>IF(OR(D70="",E70=""),"",IF(D70="BUY",E70,-E70))</f>
        <v/>
      </c>
      <c r="I70" s="4">
        <f>IF(H70="","",ABS(H70)*F70)</f>
        <v/>
      </c>
      <c r="J70" s="4">
        <f>IF(H70="","",-H70*F70-G70)</f>
        <v/>
      </c>
      <c r="K70" s="5">
        <f>IF(OR(B70="",C70=""),"",SUMIFS($H$4:H69,$B$4:B69,B70,$C$4:C69,C70))</f>
        <v/>
      </c>
      <c r="L70" s="4">
        <f>IF(OR(B70="",C70=""),"",IFERROR(LOOKUP(2,1/(($B$4:B69=B70)*($C$4:C69=C70)),$O$4:O69),0))</f>
        <v/>
      </c>
      <c r="M70" s="4">
        <f>IF(K70=0,0,L70/K70)</f>
        <v/>
      </c>
      <c r="N70" s="4">
        <f>IF(H70&lt;0,ABS(H70)*(F70-M70)-G70,0)</f>
        <v/>
      </c>
      <c r="O70" s="4">
        <f>IF(H70="","",IF(H70&gt;0,L70+I70+G70,MAX(0,L70-ABS(H70)*M70)))</f>
        <v/>
      </c>
      <c r="P70" s="5">
        <f>IF(H70="","",K70+H70)</f>
        <v/>
      </c>
      <c r="Q70" s="4">
        <f>IF(P70=0,0,O70/P70)</f>
        <v/>
      </c>
      <c r="R70" s="3" t="n"/>
      <c r="S70">
        <f>IF(H70="","",IF(P70&lt;0,"ERROR: Over-sold",IF(AND(H70&lt;0,K70=0),"ERROR: Sell w/o position","")))</f>
        <v/>
      </c>
    </row>
    <row r="71">
      <c r="A71" s="3" t="n"/>
      <c r="B71" s="3" t="n"/>
      <c r="C71" s="3" t="n"/>
      <c r="D71" s="3" t="n"/>
      <c r="E71" s="3" t="n"/>
      <c r="F71" s="3" t="n"/>
      <c r="G71" s="3" t="n"/>
      <c r="H71">
        <f>IF(OR(D71="",E71=""),"",IF(D71="BUY",E71,-E71))</f>
        <v/>
      </c>
      <c r="I71" s="4">
        <f>IF(H71="","",ABS(H71)*F71)</f>
        <v/>
      </c>
      <c r="J71" s="4">
        <f>IF(H71="","",-H71*F71-G71)</f>
        <v/>
      </c>
      <c r="K71" s="5">
        <f>IF(OR(B71="",C71=""),"",SUMIFS($H$4:H70,$B$4:B70,B71,$C$4:C70,C71))</f>
        <v/>
      </c>
      <c r="L71" s="4">
        <f>IF(OR(B71="",C71=""),"",IFERROR(LOOKUP(2,1/(($B$4:B70=B71)*($C$4:C70=C71)),$O$4:O70),0))</f>
        <v/>
      </c>
      <c r="M71" s="4">
        <f>IF(K71=0,0,L71/K71)</f>
        <v/>
      </c>
      <c r="N71" s="4">
        <f>IF(H71&lt;0,ABS(H71)*(F71-M71)-G71,0)</f>
        <v/>
      </c>
      <c r="O71" s="4">
        <f>IF(H71="","",IF(H71&gt;0,L71+I71+G71,MAX(0,L71-ABS(H71)*M71)))</f>
        <v/>
      </c>
      <c r="P71" s="5">
        <f>IF(H71="","",K71+H71)</f>
        <v/>
      </c>
      <c r="Q71" s="4">
        <f>IF(P71=0,0,O71/P71)</f>
        <v/>
      </c>
      <c r="R71" s="3" t="n"/>
      <c r="S71">
        <f>IF(H71="","",IF(P71&lt;0,"ERROR: Over-sold",IF(AND(H71&lt;0,K71=0),"ERROR: Sell w/o position","")))</f>
        <v/>
      </c>
    </row>
    <row r="72">
      <c r="A72" s="3" t="n"/>
      <c r="B72" s="3" t="n"/>
      <c r="C72" s="3" t="n"/>
      <c r="D72" s="3" t="n"/>
      <c r="E72" s="3" t="n"/>
      <c r="F72" s="3" t="n"/>
      <c r="G72" s="3" t="n"/>
      <c r="H72">
        <f>IF(OR(D72="",E72=""),"",IF(D72="BUY",E72,-E72))</f>
        <v/>
      </c>
      <c r="I72" s="4">
        <f>IF(H72="","",ABS(H72)*F72)</f>
        <v/>
      </c>
      <c r="J72" s="4">
        <f>IF(H72="","",-H72*F72-G72)</f>
        <v/>
      </c>
      <c r="K72" s="5">
        <f>IF(OR(B72="",C72=""),"",SUMIFS($H$4:H71,$B$4:B71,B72,$C$4:C71,C72))</f>
        <v/>
      </c>
      <c r="L72" s="4">
        <f>IF(OR(B72="",C72=""),"",IFERROR(LOOKUP(2,1/(($B$4:B71=B72)*($C$4:C71=C72)),$O$4:O71),0))</f>
        <v/>
      </c>
      <c r="M72" s="4">
        <f>IF(K72=0,0,L72/K72)</f>
        <v/>
      </c>
      <c r="N72" s="4">
        <f>IF(H72&lt;0,ABS(H72)*(F72-M72)-G72,0)</f>
        <v/>
      </c>
      <c r="O72" s="4">
        <f>IF(H72="","",IF(H72&gt;0,L72+I72+G72,MAX(0,L72-ABS(H72)*M72)))</f>
        <v/>
      </c>
      <c r="P72" s="5">
        <f>IF(H72="","",K72+H72)</f>
        <v/>
      </c>
      <c r="Q72" s="4">
        <f>IF(P72=0,0,O72/P72)</f>
        <v/>
      </c>
      <c r="R72" s="3" t="n"/>
      <c r="S72">
        <f>IF(H72="","",IF(P72&lt;0,"ERROR: Over-sold",IF(AND(H72&lt;0,K72=0),"ERROR: Sell w/o position","")))</f>
        <v/>
      </c>
    </row>
    <row r="73">
      <c r="A73" s="3" t="n"/>
      <c r="B73" s="3" t="n"/>
      <c r="C73" s="3" t="n"/>
      <c r="D73" s="3" t="n"/>
      <c r="E73" s="3" t="n"/>
      <c r="F73" s="3" t="n"/>
      <c r="G73" s="3" t="n"/>
      <c r="H73">
        <f>IF(OR(D73="",E73=""),"",IF(D73="BUY",E73,-E73))</f>
        <v/>
      </c>
      <c r="I73" s="4">
        <f>IF(H73="","",ABS(H73)*F73)</f>
        <v/>
      </c>
      <c r="J73" s="4">
        <f>IF(H73="","",-H73*F73-G73)</f>
        <v/>
      </c>
      <c r="K73" s="5">
        <f>IF(OR(B73="",C73=""),"",SUMIFS($H$4:H72,$B$4:B72,B73,$C$4:C72,C73))</f>
        <v/>
      </c>
      <c r="L73" s="4">
        <f>IF(OR(B73="",C73=""),"",IFERROR(LOOKUP(2,1/(($B$4:B72=B73)*($C$4:C72=C73)),$O$4:O72),0))</f>
        <v/>
      </c>
      <c r="M73" s="4">
        <f>IF(K73=0,0,L73/K73)</f>
        <v/>
      </c>
      <c r="N73" s="4">
        <f>IF(H73&lt;0,ABS(H73)*(F73-M73)-G73,0)</f>
        <v/>
      </c>
      <c r="O73" s="4">
        <f>IF(H73="","",IF(H73&gt;0,L73+I73+G73,MAX(0,L73-ABS(H73)*M73)))</f>
        <v/>
      </c>
      <c r="P73" s="5">
        <f>IF(H73="","",K73+H73)</f>
        <v/>
      </c>
      <c r="Q73" s="4">
        <f>IF(P73=0,0,O73/P73)</f>
        <v/>
      </c>
      <c r="R73" s="3" t="n"/>
      <c r="S73">
        <f>IF(H73="","",IF(P73&lt;0,"ERROR: Over-sold",IF(AND(H73&lt;0,K73=0),"ERROR: Sell w/o position","")))</f>
        <v/>
      </c>
    </row>
    <row r="74">
      <c r="A74" s="3" t="n"/>
      <c r="B74" s="3" t="n"/>
      <c r="C74" s="3" t="n"/>
      <c r="D74" s="3" t="n"/>
      <c r="E74" s="3" t="n"/>
      <c r="F74" s="3" t="n"/>
      <c r="G74" s="3" t="n"/>
      <c r="H74">
        <f>IF(OR(D74="",E74=""),"",IF(D74="BUY",E74,-E74))</f>
        <v/>
      </c>
      <c r="I74" s="4">
        <f>IF(H74="","",ABS(H74)*F74)</f>
        <v/>
      </c>
      <c r="J74" s="4">
        <f>IF(H74="","",-H74*F74-G74)</f>
        <v/>
      </c>
      <c r="K74" s="5">
        <f>IF(OR(B74="",C74=""),"",SUMIFS($H$4:H73,$B$4:B73,B74,$C$4:C73,C74))</f>
        <v/>
      </c>
      <c r="L74" s="4">
        <f>IF(OR(B74="",C74=""),"",IFERROR(LOOKUP(2,1/(($B$4:B73=B74)*($C$4:C73=C74)),$O$4:O73),0))</f>
        <v/>
      </c>
      <c r="M74" s="4">
        <f>IF(K74=0,0,L74/K74)</f>
        <v/>
      </c>
      <c r="N74" s="4">
        <f>IF(H74&lt;0,ABS(H74)*(F74-M74)-G74,0)</f>
        <v/>
      </c>
      <c r="O74" s="4">
        <f>IF(H74="","",IF(H74&gt;0,L74+I74+G74,MAX(0,L74-ABS(H74)*M74)))</f>
        <v/>
      </c>
      <c r="P74" s="5">
        <f>IF(H74="","",K74+H74)</f>
        <v/>
      </c>
      <c r="Q74" s="4">
        <f>IF(P74=0,0,O74/P74)</f>
        <v/>
      </c>
      <c r="R74" s="3" t="n"/>
      <c r="S74">
        <f>IF(H74="","",IF(P74&lt;0,"ERROR: Over-sold",IF(AND(H74&lt;0,K74=0),"ERROR: Sell w/o position","")))</f>
        <v/>
      </c>
    </row>
    <row r="75">
      <c r="A75" s="3" t="n"/>
      <c r="B75" s="3" t="n"/>
      <c r="C75" s="3" t="n"/>
      <c r="D75" s="3" t="n"/>
      <c r="E75" s="3" t="n"/>
      <c r="F75" s="3" t="n"/>
      <c r="G75" s="3" t="n"/>
      <c r="H75">
        <f>IF(OR(D75="",E75=""),"",IF(D75="BUY",E75,-E75))</f>
        <v/>
      </c>
      <c r="I75" s="4">
        <f>IF(H75="","",ABS(H75)*F75)</f>
        <v/>
      </c>
      <c r="J75" s="4">
        <f>IF(H75="","",-H75*F75-G75)</f>
        <v/>
      </c>
      <c r="K75" s="5">
        <f>IF(OR(B75="",C75=""),"",SUMIFS($H$4:H74,$B$4:B74,B75,$C$4:C74,C75))</f>
        <v/>
      </c>
      <c r="L75" s="4">
        <f>IF(OR(B75="",C75=""),"",IFERROR(LOOKUP(2,1/(($B$4:B74=B75)*($C$4:C74=C75)),$O$4:O74),0))</f>
        <v/>
      </c>
      <c r="M75" s="4">
        <f>IF(K75=0,0,L75/K75)</f>
        <v/>
      </c>
      <c r="N75" s="4">
        <f>IF(H75&lt;0,ABS(H75)*(F75-M75)-G75,0)</f>
        <v/>
      </c>
      <c r="O75" s="4">
        <f>IF(H75="","",IF(H75&gt;0,L75+I75+G75,MAX(0,L75-ABS(H75)*M75)))</f>
        <v/>
      </c>
      <c r="P75" s="5">
        <f>IF(H75="","",K75+H75)</f>
        <v/>
      </c>
      <c r="Q75" s="4">
        <f>IF(P75=0,0,O75/P75)</f>
        <v/>
      </c>
      <c r="R75" s="3" t="n"/>
      <c r="S75">
        <f>IF(H75="","",IF(P75&lt;0,"ERROR: Over-sold",IF(AND(H75&lt;0,K75=0),"ERROR: Sell w/o position","")))</f>
        <v/>
      </c>
    </row>
    <row r="76">
      <c r="A76" s="3" t="n"/>
      <c r="B76" s="3" t="n"/>
      <c r="C76" s="3" t="n"/>
      <c r="D76" s="3" t="n"/>
      <c r="E76" s="3" t="n"/>
      <c r="F76" s="3" t="n"/>
      <c r="G76" s="3" t="n"/>
      <c r="H76">
        <f>IF(OR(D76="",E76=""),"",IF(D76="BUY",E76,-E76))</f>
        <v/>
      </c>
      <c r="I76" s="4">
        <f>IF(H76="","",ABS(H76)*F76)</f>
        <v/>
      </c>
      <c r="J76" s="4">
        <f>IF(H76="","",-H76*F76-G76)</f>
        <v/>
      </c>
      <c r="K76" s="5">
        <f>IF(OR(B76="",C76=""),"",SUMIFS($H$4:H75,$B$4:B75,B76,$C$4:C75,C76))</f>
        <v/>
      </c>
      <c r="L76" s="4">
        <f>IF(OR(B76="",C76=""),"",IFERROR(LOOKUP(2,1/(($B$4:B75=B76)*($C$4:C75=C76)),$O$4:O75),0))</f>
        <v/>
      </c>
      <c r="M76" s="4">
        <f>IF(K76=0,0,L76/K76)</f>
        <v/>
      </c>
      <c r="N76" s="4">
        <f>IF(H76&lt;0,ABS(H76)*(F76-M76)-G76,0)</f>
        <v/>
      </c>
      <c r="O76" s="4">
        <f>IF(H76="","",IF(H76&gt;0,L76+I76+G76,MAX(0,L76-ABS(H76)*M76)))</f>
        <v/>
      </c>
      <c r="P76" s="5">
        <f>IF(H76="","",K76+H76)</f>
        <v/>
      </c>
      <c r="Q76" s="4">
        <f>IF(P76=0,0,O76/P76)</f>
        <v/>
      </c>
      <c r="R76" s="3" t="n"/>
      <c r="S76">
        <f>IF(H76="","",IF(P76&lt;0,"ERROR: Over-sold",IF(AND(H76&lt;0,K76=0),"ERROR: Sell w/o position","")))</f>
        <v/>
      </c>
    </row>
    <row r="77">
      <c r="A77" s="3" t="n"/>
      <c r="B77" s="3" t="n"/>
      <c r="C77" s="3" t="n"/>
      <c r="D77" s="3" t="n"/>
      <c r="E77" s="3" t="n"/>
      <c r="F77" s="3" t="n"/>
      <c r="G77" s="3" t="n"/>
      <c r="H77">
        <f>IF(OR(D77="",E77=""),"",IF(D77="BUY",E77,-E77))</f>
        <v/>
      </c>
      <c r="I77" s="4">
        <f>IF(H77="","",ABS(H77)*F77)</f>
        <v/>
      </c>
      <c r="J77" s="4">
        <f>IF(H77="","",-H77*F77-G77)</f>
        <v/>
      </c>
      <c r="K77" s="5">
        <f>IF(OR(B77="",C77=""),"",SUMIFS($H$4:H76,$B$4:B76,B77,$C$4:C76,C77))</f>
        <v/>
      </c>
      <c r="L77" s="4">
        <f>IF(OR(B77="",C77=""),"",IFERROR(LOOKUP(2,1/(($B$4:B76=B77)*($C$4:C76=C77)),$O$4:O76),0))</f>
        <v/>
      </c>
      <c r="M77" s="4">
        <f>IF(K77=0,0,L77/K77)</f>
        <v/>
      </c>
      <c r="N77" s="4">
        <f>IF(H77&lt;0,ABS(H77)*(F77-M77)-G77,0)</f>
        <v/>
      </c>
      <c r="O77" s="4">
        <f>IF(H77="","",IF(H77&gt;0,L77+I77+G77,MAX(0,L77-ABS(H77)*M77)))</f>
        <v/>
      </c>
      <c r="P77" s="5">
        <f>IF(H77="","",K77+H77)</f>
        <v/>
      </c>
      <c r="Q77" s="4">
        <f>IF(P77=0,0,O77/P77)</f>
        <v/>
      </c>
      <c r="R77" s="3" t="n"/>
      <c r="S77">
        <f>IF(H77="","",IF(P77&lt;0,"ERROR: Over-sold",IF(AND(H77&lt;0,K77=0),"ERROR: Sell w/o position","")))</f>
        <v/>
      </c>
    </row>
    <row r="78">
      <c r="A78" s="3" t="n"/>
      <c r="B78" s="3" t="n"/>
      <c r="C78" s="3" t="n"/>
      <c r="D78" s="3" t="n"/>
      <c r="E78" s="3" t="n"/>
      <c r="F78" s="3" t="n"/>
      <c r="G78" s="3" t="n"/>
      <c r="H78">
        <f>IF(OR(D78="",E78=""),"",IF(D78="BUY",E78,-E78))</f>
        <v/>
      </c>
      <c r="I78" s="4">
        <f>IF(H78="","",ABS(H78)*F78)</f>
        <v/>
      </c>
      <c r="J78" s="4">
        <f>IF(H78="","",-H78*F78-G78)</f>
        <v/>
      </c>
      <c r="K78" s="5">
        <f>IF(OR(B78="",C78=""),"",SUMIFS($H$4:H77,$B$4:B77,B78,$C$4:C77,C78))</f>
        <v/>
      </c>
      <c r="L78" s="4">
        <f>IF(OR(B78="",C78=""),"",IFERROR(LOOKUP(2,1/(($B$4:B77=B78)*($C$4:C77=C78)),$O$4:O77),0))</f>
        <v/>
      </c>
      <c r="M78" s="4">
        <f>IF(K78=0,0,L78/K78)</f>
        <v/>
      </c>
      <c r="N78" s="4">
        <f>IF(H78&lt;0,ABS(H78)*(F78-M78)-G78,0)</f>
        <v/>
      </c>
      <c r="O78" s="4">
        <f>IF(H78="","",IF(H78&gt;0,L78+I78+G78,MAX(0,L78-ABS(H78)*M78)))</f>
        <v/>
      </c>
      <c r="P78" s="5">
        <f>IF(H78="","",K78+H78)</f>
        <v/>
      </c>
      <c r="Q78" s="4">
        <f>IF(P78=0,0,O78/P78)</f>
        <v/>
      </c>
      <c r="R78" s="3" t="n"/>
      <c r="S78">
        <f>IF(H78="","",IF(P78&lt;0,"ERROR: Over-sold",IF(AND(H78&lt;0,K78=0),"ERROR: Sell w/o position","")))</f>
        <v/>
      </c>
    </row>
    <row r="79">
      <c r="A79" s="3" t="n"/>
      <c r="B79" s="3" t="n"/>
      <c r="C79" s="3" t="n"/>
      <c r="D79" s="3" t="n"/>
      <c r="E79" s="3" t="n"/>
      <c r="F79" s="3" t="n"/>
      <c r="G79" s="3" t="n"/>
      <c r="H79">
        <f>IF(OR(D79="",E79=""),"",IF(D79="BUY",E79,-E79))</f>
        <v/>
      </c>
      <c r="I79" s="4">
        <f>IF(H79="","",ABS(H79)*F79)</f>
        <v/>
      </c>
      <c r="J79" s="4">
        <f>IF(H79="","",-H79*F79-G79)</f>
        <v/>
      </c>
      <c r="K79" s="5">
        <f>IF(OR(B79="",C79=""),"",SUMIFS($H$4:H78,$B$4:B78,B79,$C$4:C78,C79))</f>
        <v/>
      </c>
      <c r="L79" s="4">
        <f>IF(OR(B79="",C79=""),"",IFERROR(LOOKUP(2,1/(($B$4:B78=B79)*($C$4:C78=C79)),$O$4:O78),0))</f>
        <v/>
      </c>
      <c r="M79" s="4">
        <f>IF(K79=0,0,L79/K79)</f>
        <v/>
      </c>
      <c r="N79" s="4">
        <f>IF(H79&lt;0,ABS(H79)*(F79-M79)-G79,0)</f>
        <v/>
      </c>
      <c r="O79" s="4">
        <f>IF(H79="","",IF(H79&gt;0,L79+I79+G79,MAX(0,L79-ABS(H79)*M79)))</f>
        <v/>
      </c>
      <c r="P79" s="5">
        <f>IF(H79="","",K79+H79)</f>
        <v/>
      </c>
      <c r="Q79" s="4">
        <f>IF(P79=0,0,O79/P79)</f>
        <v/>
      </c>
      <c r="R79" s="3" t="n"/>
      <c r="S79">
        <f>IF(H79="","",IF(P79&lt;0,"ERROR: Over-sold",IF(AND(H79&lt;0,K79=0),"ERROR: Sell w/o position","")))</f>
        <v/>
      </c>
    </row>
    <row r="80">
      <c r="A80" s="3" t="n"/>
      <c r="B80" s="3" t="n"/>
      <c r="C80" s="3" t="n"/>
      <c r="D80" s="3" t="n"/>
      <c r="E80" s="3" t="n"/>
      <c r="F80" s="3" t="n"/>
      <c r="G80" s="3" t="n"/>
      <c r="H80">
        <f>IF(OR(D80="",E80=""),"",IF(D80="BUY",E80,-E80))</f>
        <v/>
      </c>
      <c r="I80" s="4">
        <f>IF(H80="","",ABS(H80)*F80)</f>
        <v/>
      </c>
      <c r="J80" s="4">
        <f>IF(H80="","",-H80*F80-G80)</f>
        <v/>
      </c>
      <c r="K80" s="5">
        <f>IF(OR(B80="",C80=""),"",SUMIFS($H$4:H79,$B$4:B79,B80,$C$4:C79,C80))</f>
        <v/>
      </c>
      <c r="L80" s="4">
        <f>IF(OR(B80="",C80=""),"",IFERROR(LOOKUP(2,1/(($B$4:B79=B80)*($C$4:C79=C80)),$O$4:O79),0))</f>
        <v/>
      </c>
      <c r="M80" s="4">
        <f>IF(K80=0,0,L80/K80)</f>
        <v/>
      </c>
      <c r="N80" s="4">
        <f>IF(H80&lt;0,ABS(H80)*(F80-M80)-G80,0)</f>
        <v/>
      </c>
      <c r="O80" s="4">
        <f>IF(H80="","",IF(H80&gt;0,L80+I80+G80,MAX(0,L80-ABS(H80)*M80)))</f>
        <v/>
      </c>
      <c r="P80" s="5">
        <f>IF(H80="","",K80+H80)</f>
        <v/>
      </c>
      <c r="Q80" s="4">
        <f>IF(P80=0,0,O80/P80)</f>
        <v/>
      </c>
      <c r="R80" s="3" t="n"/>
      <c r="S80">
        <f>IF(H80="","",IF(P80&lt;0,"ERROR: Over-sold",IF(AND(H80&lt;0,K80=0),"ERROR: Sell w/o position","")))</f>
        <v/>
      </c>
    </row>
    <row r="81">
      <c r="A81" s="3" t="n"/>
      <c r="B81" s="3" t="n"/>
      <c r="C81" s="3" t="n"/>
      <c r="D81" s="3" t="n"/>
      <c r="E81" s="3" t="n"/>
      <c r="F81" s="3" t="n"/>
      <c r="G81" s="3" t="n"/>
      <c r="H81">
        <f>IF(OR(D81="",E81=""),"",IF(D81="BUY",E81,-E81))</f>
        <v/>
      </c>
      <c r="I81" s="4">
        <f>IF(H81="","",ABS(H81)*F81)</f>
        <v/>
      </c>
      <c r="J81" s="4">
        <f>IF(H81="","",-H81*F81-G81)</f>
        <v/>
      </c>
      <c r="K81" s="5">
        <f>IF(OR(B81="",C81=""),"",SUMIFS($H$4:H80,$B$4:B80,B81,$C$4:C80,C81))</f>
        <v/>
      </c>
      <c r="L81" s="4">
        <f>IF(OR(B81="",C81=""),"",IFERROR(LOOKUP(2,1/(($B$4:B80=B81)*($C$4:C80=C81)),$O$4:O80),0))</f>
        <v/>
      </c>
      <c r="M81" s="4">
        <f>IF(K81=0,0,L81/K81)</f>
        <v/>
      </c>
      <c r="N81" s="4">
        <f>IF(H81&lt;0,ABS(H81)*(F81-M81)-G81,0)</f>
        <v/>
      </c>
      <c r="O81" s="4">
        <f>IF(H81="","",IF(H81&gt;0,L81+I81+G81,MAX(0,L81-ABS(H81)*M81)))</f>
        <v/>
      </c>
      <c r="P81" s="5">
        <f>IF(H81="","",K81+H81)</f>
        <v/>
      </c>
      <c r="Q81" s="4">
        <f>IF(P81=0,0,O81/P81)</f>
        <v/>
      </c>
      <c r="R81" s="3" t="n"/>
      <c r="S81">
        <f>IF(H81="","",IF(P81&lt;0,"ERROR: Over-sold",IF(AND(H81&lt;0,K81=0),"ERROR: Sell w/o position","")))</f>
        <v/>
      </c>
    </row>
    <row r="82">
      <c r="A82" s="3" t="n"/>
      <c r="B82" s="3" t="n"/>
      <c r="C82" s="3" t="n"/>
      <c r="D82" s="3" t="n"/>
      <c r="E82" s="3" t="n"/>
      <c r="F82" s="3" t="n"/>
      <c r="G82" s="3" t="n"/>
      <c r="H82">
        <f>IF(OR(D82="",E82=""),"",IF(D82="BUY",E82,-E82))</f>
        <v/>
      </c>
      <c r="I82" s="4">
        <f>IF(H82="","",ABS(H82)*F82)</f>
        <v/>
      </c>
      <c r="J82" s="4">
        <f>IF(H82="","",-H82*F82-G82)</f>
        <v/>
      </c>
      <c r="K82" s="5">
        <f>IF(OR(B82="",C82=""),"",SUMIFS($H$4:H81,$B$4:B81,B82,$C$4:C81,C82))</f>
        <v/>
      </c>
      <c r="L82" s="4">
        <f>IF(OR(B82="",C82=""),"",IFERROR(LOOKUP(2,1/(($B$4:B81=B82)*($C$4:C81=C82)),$O$4:O81),0))</f>
        <v/>
      </c>
      <c r="M82" s="4">
        <f>IF(K82=0,0,L82/K82)</f>
        <v/>
      </c>
      <c r="N82" s="4">
        <f>IF(H82&lt;0,ABS(H82)*(F82-M82)-G82,0)</f>
        <v/>
      </c>
      <c r="O82" s="4">
        <f>IF(H82="","",IF(H82&gt;0,L82+I82+G82,MAX(0,L82-ABS(H82)*M82)))</f>
        <v/>
      </c>
      <c r="P82" s="5">
        <f>IF(H82="","",K82+H82)</f>
        <v/>
      </c>
      <c r="Q82" s="4">
        <f>IF(P82=0,0,O82/P82)</f>
        <v/>
      </c>
      <c r="R82" s="3" t="n"/>
      <c r="S82">
        <f>IF(H82="","",IF(P82&lt;0,"ERROR: Over-sold",IF(AND(H82&lt;0,K82=0),"ERROR: Sell w/o position","")))</f>
        <v/>
      </c>
    </row>
    <row r="83">
      <c r="A83" s="3" t="n"/>
      <c r="B83" s="3" t="n"/>
      <c r="C83" s="3" t="n"/>
      <c r="D83" s="3" t="n"/>
      <c r="E83" s="3" t="n"/>
      <c r="F83" s="3" t="n"/>
      <c r="G83" s="3" t="n"/>
      <c r="H83">
        <f>IF(OR(D83="",E83=""),"",IF(D83="BUY",E83,-E83))</f>
        <v/>
      </c>
      <c r="I83" s="4">
        <f>IF(H83="","",ABS(H83)*F83)</f>
        <v/>
      </c>
      <c r="J83" s="4">
        <f>IF(H83="","",-H83*F83-G83)</f>
        <v/>
      </c>
      <c r="K83" s="5">
        <f>IF(OR(B83="",C83=""),"",SUMIFS($H$4:H82,$B$4:B82,B83,$C$4:C82,C83))</f>
        <v/>
      </c>
      <c r="L83" s="4">
        <f>IF(OR(B83="",C83=""),"",IFERROR(LOOKUP(2,1/(($B$4:B82=B83)*($C$4:C82=C83)),$O$4:O82),0))</f>
        <v/>
      </c>
      <c r="M83" s="4">
        <f>IF(K83=0,0,L83/K83)</f>
        <v/>
      </c>
      <c r="N83" s="4">
        <f>IF(H83&lt;0,ABS(H83)*(F83-M83)-G83,0)</f>
        <v/>
      </c>
      <c r="O83" s="4">
        <f>IF(H83="","",IF(H83&gt;0,L83+I83+G83,MAX(0,L83-ABS(H83)*M83)))</f>
        <v/>
      </c>
      <c r="P83" s="5">
        <f>IF(H83="","",K83+H83)</f>
        <v/>
      </c>
      <c r="Q83" s="4">
        <f>IF(P83=0,0,O83/P83)</f>
        <v/>
      </c>
      <c r="R83" s="3" t="n"/>
      <c r="S83">
        <f>IF(H83="","",IF(P83&lt;0,"ERROR: Over-sold",IF(AND(H83&lt;0,K83=0),"ERROR: Sell w/o position","")))</f>
        <v/>
      </c>
    </row>
    <row r="84">
      <c r="A84" s="3" t="n"/>
      <c r="B84" s="3" t="n"/>
      <c r="C84" s="3" t="n"/>
      <c r="D84" s="3" t="n"/>
      <c r="E84" s="3" t="n"/>
      <c r="F84" s="3" t="n"/>
      <c r="G84" s="3" t="n"/>
      <c r="H84">
        <f>IF(OR(D84="",E84=""),"",IF(D84="BUY",E84,-E84))</f>
        <v/>
      </c>
      <c r="I84" s="4">
        <f>IF(H84="","",ABS(H84)*F84)</f>
        <v/>
      </c>
      <c r="J84" s="4">
        <f>IF(H84="","",-H84*F84-G84)</f>
        <v/>
      </c>
      <c r="K84" s="5">
        <f>IF(OR(B84="",C84=""),"",SUMIFS($H$4:H83,$B$4:B83,B84,$C$4:C83,C84))</f>
        <v/>
      </c>
      <c r="L84" s="4">
        <f>IF(OR(B84="",C84=""),"",IFERROR(LOOKUP(2,1/(($B$4:B83=B84)*($C$4:C83=C84)),$O$4:O83),0))</f>
        <v/>
      </c>
      <c r="M84" s="4">
        <f>IF(K84=0,0,L84/K84)</f>
        <v/>
      </c>
      <c r="N84" s="4">
        <f>IF(H84&lt;0,ABS(H84)*(F84-M84)-G84,0)</f>
        <v/>
      </c>
      <c r="O84" s="4">
        <f>IF(H84="","",IF(H84&gt;0,L84+I84+G84,MAX(0,L84-ABS(H84)*M84)))</f>
        <v/>
      </c>
      <c r="P84" s="5">
        <f>IF(H84="","",K84+H84)</f>
        <v/>
      </c>
      <c r="Q84" s="4">
        <f>IF(P84=0,0,O84/P84)</f>
        <v/>
      </c>
      <c r="R84" s="3" t="n"/>
      <c r="S84">
        <f>IF(H84="","",IF(P84&lt;0,"ERROR: Over-sold",IF(AND(H84&lt;0,K84=0),"ERROR: Sell w/o position","")))</f>
        <v/>
      </c>
    </row>
    <row r="85">
      <c r="A85" s="3" t="n"/>
      <c r="B85" s="3" t="n"/>
      <c r="C85" s="3" t="n"/>
      <c r="D85" s="3" t="n"/>
      <c r="E85" s="3" t="n"/>
      <c r="F85" s="3" t="n"/>
      <c r="G85" s="3" t="n"/>
      <c r="H85">
        <f>IF(OR(D85="",E85=""),"",IF(D85="BUY",E85,-E85))</f>
        <v/>
      </c>
      <c r="I85" s="4">
        <f>IF(H85="","",ABS(H85)*F85)</f>
        <v/>
      </c>
      <c r="J85" s="4">
        <f>IF(H85="","",-H85*F85-G85)</f>
        <v/>
      </c>
      <c r="K85" s="5">
        <f>IF(OR(B85="",C85=""),"",SUMIFS($H$4:H84,$B$4:B84,B85,$C$4:C84,C85))</f>
        <v/>
      </c>
      <c r="L85" s="4">
        <f>IF(OR(B85="",C85=""),"",IFERROR(LOOKUP(2,1/(($B$4:B84=B85)*($C$4:C84=C85)),$O$4:O84),0))</f>
        <v/>
      </c>
      <c r="M85" s="4">
        <f>IF(K85=0,0,L85/K85)</f>
        <v/>
      </c>
      <c r="N85" s="4">
        <f>IF(H85&lt;0,ABS(H85)*(F85-M85)-G85,0)</f>
        <v/>
      </c>
      <c r="O85" s="4">
        <f>IF(H85="","",IF(H85&gt;0,L85+I85+G85,MAX(0,L85-ABS(H85)*M85)))</f>
        <v/>
      </c>
      <c r="P85" s="5">
        <f>IF(H85="","",K85+H85)</f>
        <v/>
      </c>
      <c r="Q85" s="4">
        <f>IF(P85=0,0,O85/P85)</f>
        <v/>
      </c>
      <c r="R85" s="3" t="n"/>
      <c r="S85">
        <f>IF(H85="","",IF(P85&lt;0,"ERROR: Over-sold",IF(AND(H85&lt;0,K85=0),"ERROR: Sell w/o position","")))</f>
        <v/>
      </c>
    </row>
    <row r="86">
      <c r="A86" s="3" t="n"/>
      <c r="B86" s="3" t="n"/>
      <c r="C86" s="3" t="n"/>
      <c r="D86" s="3" t="n"/>
      <c r="E86" s="3" t="n"/>
      <c r="F86" s="3" t="n"/>
      <c r="G86" s="3" t="n"/>
      <c r="H86">
        <f>IF(OR(D86="",E86=""),"",IF(D86="BUY",E86,-E86))</f>
        <v/>
      </c>
      <c r="I86" s="4">
        <f>IF(H86="","",ABS(H86)*F86)</f>
        <v/>
      </c>
      <c r="J86" s="4">
        <f>IF(H86="","",-H86*F86-G86)</f>
        <v/>
      </c>
      <c r="K86" s="5">
        <f>IF(OR(B86="",C86=""),"",SUMIFS($H$4:H85,$B$4:B85,B86,$C$4:C85,C86))</f>
        <v/>
      </c>
      <c r="L86" s="4">
        <f>IF(OR(B86="",C86=""),"",IFERROR(LOOKUP(2,1/(($B$4:B85=B86)*($C$4:C85=C86)),$O$4:O85),0))</f>
        <v/>
      </c>
      <c r="M86" s="4">
        <f>IF(K86=0,0,L86/K86)</f>
        <v/>
      </c>
      <c r="N86" s="4">
        <f>IF(H86&lt;0,ABS(H86)*(F86-M86)-G86,0)</f>
        <v/>
      </c>
      <c r="O86" s="4">
        <f>IF(H86="","",IF(H86&gt;0,L86+I86+G86,MAX(0,L86-ABS(H86)*M86)))</f>
        <v/>
      </c>
      <c r="P86" s="5">
        <f>IF(H86="","",K86+H86)</f>
        <v/>
      </c>
      <c r="Q86" s="4">
        <f>IF(P86=0,0,O86/P86)</f>
        <v/>
      </c>
      <c r="R86" s="3" t="n"/>
      <c r="S86">
        <f>IF(H86="","",IF(P86&lt;0,"ERROR: Over-sold",IF(AND(H86&lt;0,K86=0),"ERROR: Sell w/o position","")))</f>
        <v/>
      </c>
    </row>
    <row r="87">
      <c r="A87" s="3" t="n"/>
      <c r="B87" s="3" t="n"/>
      <c r="C87" s="3" t="n"/>
      <c r="D87" s="3" t="n"/>
      <c r="E87" s="3" t="n"/>
      <c r="F87" s="3" t="n"/>
      <c r="G87" s="3" t="n"/>
      <c r="H87">
        <f>IF(OR(D87="",E87=""),"",IF(D87="BUY",E87,-E87))</f>
        <v/>
      </c>
      <c r="I87" s="4">
        <f>IF(H87="","",ABS(H87)*F87)</f>
        <v/>
      </c>
      <c r="J87" s="4">
        <f>IF(H87="","",-H87*F87-G87)</f>
        <v/>
      </c>
      <c r="K87" s="5">
        <f>IF(OR(B87="",C87=""),"",SUMIFS($H$4:H86,$B$4:B86,B87,$C$4:C86,C87))</f>
        <v/>
      </c>
      <c r="L87" s="4">
        <f>IF(OR(B87="",C87=""),"",IFERROR(LOOKUP(2,1/(($B$4:B86=B87)*($C$4:C86=C87)),$O$4:O86),0))</f>
        <v/>
      </c>
      <c r="M87" s="4">
        <f>IF(K87=0,0,L87/K87)</f>
        <v/>
      </c>
      <c r="N87" s="4">
        <f>IF(H87&lt;0,ABS(H87)*(F87-M87)-G87,0)</f>
        <v/>
      </c>
      <c r="O87" s="4">
        <f>IF(H87="","",IF(H87&gt;0,L87+I87+G87,MAX(0,L87-ABS(H87)*M87)))</f>
        <v/>
      </c>
      <c r="P87" s="5">
        <f>IF(H87="","",K87+H87)</f>
        <v/>
      </c>
      <c r="Q87" s="4">
        <f>IF(P87=0,0,O87/P87)</f>
        <v/>
      </c>
      <c r="R87" s="3" t="n"/>
      <c r="S87">
        <f>IF(H87="","",IF(P87&lt;0,"ERROR: Over-sold",IF(AND(H87&lt;0,K87=0),"ERROR: Sell w/o position","")))</f>
        <v/>
      </c>
    </row>
    <row r="88">
      <c r="A88" s="3" t="n"/>
      <c r="B88" s="3" t="n"/>
      <c r="C88" s="3" t="n"/>
      <c r="D88" s="3" t="n"/>
      <c r="E88" s="3" t="n"/>
      <c r="F88" s="3" t="n"/>
      <c r="G88" s="3" t="n"/>
      <c r="H88">
        <f>IF(OR(D88="",E88=""),"",IF(D88="BUY",E88,-E88))</f>
        <v/>
      </c>
      <c r="I88" s="4">
        <f>IF(H88="","",ABS(H88)*F88)</f>
        <v/>
      </c>
      <c r="J88" s="4">
        <f>IF(H88="","",-H88*F88-G88)</f>
        <v/>
      </c>
      <c r="K88" s="5">
        <f>IF(OR(B88="",C88=""),"",SUMIFS($H$4:H87,$B$4:B87,B88,$C$4:C87,C88))</f>
        <v/>
      </c>
      <c r="L88" s="4">
        <f>IF(OR(B88="",C88=""),"",IFERROR(LOOKUP(2,1/(($B$4:B87=B88)*($C$4:C87=C88)),$O$4:O87),0))</f>
        <v/>
      </c>
      <c r="M88" s="4">
        <f>IF(K88=0,0,L88/K88)</f>
        <v/>
      </c>
      <c r="N88" s="4">
        <f>IF(H88&lt;0,ABS(H88)*(F88-M88)-G88,0)</f>
        <v/>
      </c>
      <c r="O88" s="4">
        <f>IF(H88="","",IF(H88&gt;0,L88+I88+G88,MAX(0,L88-ABS(H88)*M88)))</f>
        <v/>
      </c>
      <c r="P88" s="5">
        <f>IF(H88="","",K88+H88)</f>
        <v/>
      </c>
      <c r="Q88" s="4">
        <f>IF(P88=0,0,O88/P88)</f>
        <v/>
      </c>
      <c r="R88" s="3" t="n"/>
      <c r="S88">
        <f>IF(H88="","",IF(P88&lt;0,"ERROR: Over-sold",IF(AND(H88&lt;0,K88=0),"ERROR: Sell w/o position","")))</f>
        <v/>
      </c>
    </row>
    <row r="89">
      <c r="A89" s="3" t="n"/>
      <c r="B89" s="3" t="n"/>
      <c r="C89" s="3" t="n"/>
      <c r="D89" s="3" t="n"/>
      <c r="E89" s="3" t="n"/>
      <c r="F89" s="3" t="n"/>
      <c r="G89" s="3" t="n"/>
      <c r="H89">
        <f>IF(OR(D89="",E89=""),"",IF(D89="BUY",E89,-E89))</f>
        <v/>
      </c>
      <c r="I89" s="4">
        <f>IF(H89="","",ABS(H89)*F89)</f>
        <v/>
      </c>
      <c r="J89" s="4">
        <f>IF(H89="","",-H89*F89-G89)</f>
        <v/>
      </c>
      <c r="K89" s="5">
        <f>IF(OR(B89="",C89=""),"",SUMIFS($H$4:H88,$B$4:B88,B89,$C$4:C88,C89))</f>
        <v/>
      </c>
      <c r="L89" s="4">
        <f>IF(OR(B89="",C89=""),"",IFERROR(LOOKUP(2,1/(($B$4:B88=B89)*($C$4:C88=C89)),$O$4:O88),0))</f>
        <v/>
      </c>
      <c r="M89" s="4">
        <f>IF(K89=0,0,L89/K89)</f>
        <v/>
      </c>
      <c r="N89" s="4">
        <f>IF(H89&lt;0,ABS(H89)*(F89-M89)-G89,0)</f>
        <v/>
      </c>
      <c r="O89" s="4">
        <f>IF(H89="","",IF(H89&gt;0,L89+I89+G89,MAX(0,L89-ABS(H89)*M89)))</f>
        <v/>
      </c>
      <c r="P89" s="5">
        <f>IF(H89="","",K89+H89)</f>
        <v/>
      </c>
      <c r="Q89" s="4">
        <f>IF(P89=0,0,O89/P89)</f>
        <v/>
      </c>
      <c r="R89" s="3" t="n"/>
      <c r="S89">
        <f>IF(H89="","",IF(P89&lt;0,"ERROR: Over-sold",IF(AND(H89&lt;0,K89=0),"ERROR: Sell w/o position","")))</f>
        <v/>
      </c>
    </row>
    <row r="90">
      <c r="A90" s="3" t="n"/>
      <c r="B90" s="3" t="n"/>
      <c r="C90" s="3" t="n"/>
      <c r="D90" s="3" t="n"/>
      <c r="E90" s="3" t="n"/>
      <c r="F90" s="3" t="n"/>
      <c r="G90" s="3" t="n"/>
      <c r="H90">
        <f>IF(OR(D90="",E90=""),"",IF(D90="BUY",E90,-E90))</f>
        <v/>
      </c>
      <c r="I90" s="4">
        <f>IF(H90="","",ABS(H90)*F90)</f>
        <v/>
      </c>
      <c r="J90" s="4">
        <f>IF(H90="","",-H90*F90-G90)</f>
        <v/>
      </c>
      <c r="K90" s="5">
        <f>IF(OR(B90="",C90=""),"",SUMIFS($H$4:H89,$B$4:B89,B90,$C$4:C89,C90))</f>
        <v/>
      </c>
      <c r="L90" s="4">
        <f>IF(OR(B90="",C90=""),"",IFERROR(LOOKUP(2,1/(($B$4:B89=B90)*($C$4:C89=C90)),$O$4:O89),0))</f>
        <v/>
      </c>
      <c r="M90" s="4">
        <f>IF(K90=0,0,L90/K90)</f>
        <v/>
      </c>
      <c r="N90" s="4">
        <f>IF(H90&lt;0,ABS(H90)*(F90-M90)-G90,0)</f>
        <v/>
      </c>
      <c r="O90" s="4">
        <f>IF(H90="","",IF(H90&gt;0,L90+I90+G90,MAX(0,L90-ABS(H90)*M90)))</f>
        <v/>
      </c>
      <c r="P90" s="5">
        <f>IF(H90="","",K90+H90)</f>
        <v/>
      </c>
      <c r="Q90" s="4">
        <f>IF(P90=0,0,O90/P90)</f>
        <v/>
      </c>
      <c r="R90" s="3" t="n"/>
      <c r="S90">
        <f>IF(H90="","",IF(P90&lt;0,"ERROR: Over-sold",IF(AND(H90&lt;0,K90=0),"ERROR: Sell w/o position","")))</f>
        <v/>
      </c>
    </row>
    <row r="91">
      <c r="A91" s="3" t="n"/>
      <c r="B91" s="3" t="n"/>
      <c r="C91" s="3" t="n"/>
      <c r="D91" s="3" t="n"/>
      <c r="E91" s="3" t="n"/>
      <c r="F91" s="3" t="n"/>
      <c r="G91" s="3" t="n"/>
      <c r="H91">
        <f>IF(OR(D91="",E91=""),"",IF(D91="BUY",E91,-E91))</f>
        <v/>
      </c>
      <c r="I91" s="4">
        <f>IF(H91="","",ABS(H91)*F91)</f>
        <v/>
      </c>
      <c r="J91" s="4">
        <f>IF(H91="","",-H91*F91-G91)</f>
        <v/>
      </c>
      <c r="K91" s="5">
        <f>IF(OR(B91="",C91=""),"",SUMIFS($H$4:H90,$B$4:B90,B91,$C$4:C90,C91))</f>
        <v/>
      </c>
      <c r="L91" s="4">
        <f>IF(OR(B91="",C91=""),"",IFERROR(LOOKUP(2,1/(($B$4:B90=B91)*($C$4:C90=C91)),$O$4:O90),0))</f>
        <v/>
      </c>
      <c r="M91" s="4">
        <f>IF(K91=0,0,L91/K91)</f>
        <v/>
      </c>
      <c r="N91" s="4">
        <f>IF(H91&lt;0,ABS(H91)*(F91-M91)-G91,0)</f>
        <v/>
      </c>
      <c r="O91" s="4">
        <f>IF(H91="","",IF(H91&gt;0,L91+I91+G91,MAX(0,L91-ABS(H91)*M91)))</f>
        <v/>
      </c>
      <c r="P91" s="5">
        <f>IF(H91="","",K91+H91)</f>
        <v/>
      </c>
      <c r="Q91" s="4">
        <f>IF(P91=0,0,O91/P91)</f>
        <v/>
      </c>
      <c r="R91" s="3" t="n"/>
      <c r="S91">
        <f>IF(H91="","",IF(P91&lt;0,"ERROR: Over-sold",IF(AND(H91&lt;0,K91=0),"ERROR: Sell w/o position","")))</f>
        <v/>
      </c>
    </row>
    <row r="92">
      <c r="A92" s="3" t="n"/>
      <c r="B92" s="3" t="n"/>
      <c r="C92" s="3" t="n"/>
      <c r="D92" s="3" t="n"/>
      <c r="E92" s="3" t="n"/>
      <c r="F92" s="3" t="n"/>
      <c r="G92" s="3" t="n"/>
      <c r="H92">
        <f>IF(OR(D92="",E92=""),"",IF(D92="BUY",E92,-E92))</f>
        <v/>
      </c>
      <c r="I92" s="4">
        <f>IF(H92="","",ABS(H92)*F92)</f>
        <v/>
      </c>
      <c r="J92" s="4">
        <f>IF(H92="","",-H92*F92-G92)</f>
        <v/>
      </c>
      <c r="K92" s="5">
        <f>IF(OR(B92="",C92=""),"",SUMIFS($H$4:H91,$B$4:B91,B92,$C$4:C91,C92))</f>
        <v/>
      </c>
      <c r="L92" s="4">
        <f>IF(OR(B92="",C92=""),"",IFERROR(LOOKUP(2,1/(($B$4:B91=B92)*($C$4:C91=C92)),$O$4:O91),0))</f>
        <v/>
      </c>
      <c r="M92" s="4">
        <f>IF(K92=0,0,L92/K92)</f>
        <v/>
      </c>
      <c r="N92" s="4">
        <f>IF(H92&lt;0,ABS(H92)*(F92-M92)-G92,0)</f>
        <v/>
      </c>
      <c r="O92" s="4">
        <f>IF(H92="","",IF(H92&gt;0,L92+I92+G92,MAX(0,L92-ABS(H92)*M92)))</f>
        <v/>
      </c>
      <c r="P92" s="5">
        <f>IF(H92="","",K92+H92)</f>
        <v/>
      </c>
      <c r="Q92" s="4">
        <f>IF(P92=0,0,O92/P92)</f>
        <v/>
      </c>
      <c r="R92" s="3" t="n"/>
      <c r="S92">
        <f>IF(H92="","",IF(P92&lt;0,"ERROR: Over-sold",IF(AND(H92&lt;0,K92=0),"ERROR: Sell w/o position","")))</f>
        <v/>
      </c>
    </row>
    <row r="93">
      <c r="A93" s="3" t="n"/>
      <c r="B93" s="3" t="n"/>
      <c r="C93" s="3" t="n"/>
      <c r="D93" s="3" t="n"/>
      <c r="E93" s="3" t="n"/>
      <c r="F93" s="3" t="n"/>
      <c r="G93" s="3" t="n"/>
      <c r="H93">
        <f>IF(OR(D93="",E93=""),"",IF(D93="BUY",E93,-E93))</f>
        <v/>
      </c>
      <c r="I93" s="4">
        <f>IF(H93="","",ABS(H93)*F93)</f>
        <v/>
      </c>
      <c r="J93" s="4">
        <f>IF(H93="","",-H93*F93-G93)</f>
        <v/>
      </c>
      <c r="K93" s="5">
        <f>IF(OR(B93="",C93=""),"",SUMIFS($H$4:H92,$B$4:B92,B93,$C$4:C92,C93))</f>
        <v/>
      </c>
      <c r="L93" s="4">
        <f>IF(OR(B93="",C93=""),"",IFERROR(LOOKUP(2,1/(($B$4:B92=B93)*($C$4:C92=C93)),$O$4:O92),0))</f>
        <v/>
      </c>
      <c r="M93" s="4">
        <f>IF(K93=0,0,L93/K93)</f>
        <v/>
      </c>
      <c r="N93" s="4">
        <f>IF(H93&lt;0,ABS(H93)*(F93-M93)-G93,0)</f>
        <v/>
      </c>
      <c r="O93" s="4">
        <f>IF(H93="","",IF(H93&gt;0,L93+I93+G93,MAX(0,L93-ABS(H93)*M93)))</f>
        <v/>
      </c>
      <c r="P93" s="5">
        <f>IF(H93="","",K93+H93)</f>
        <v/>
      </c>
      <c r="Q93" s="4">
        <f>IF(P93=0,0,O93/P93)</f>
        <v/>
      </c>
      <c r="R93" s="3" t="n"/>
      <c r="S93">
        <f>IF(H93="","",IF(P93&lt;0,"ERROR: Over-sold",IF(AND(H93&lt;0,K93=0),"ERROR: Sell w/o position","")))</f>
        <v/>
      </c>
    </row>
    <row r="94">
      <c r="A94" s="3" t="n"/>
      <c r="B94" s="3" t="n"/>
      <c r="C94" s="3" t="n"/>
      <c r="D94" s="3" t="n"/>
      <c r="E94" s="3" t="n"/>
      <c r="F94" s="3" t="n"/>
      <c r="G94" s="3" t="n"/>
      <c r="H94">
        <f>IF(OR(D94="",E94=""),"",IF(D94="BUY",E94,-E94))</f>
        <v/>
      </c>
      <c r="I94" s="4">
        <f>IF(H94="","",ABS(H94)*F94)</f>
        <v/>
      </c>
      <c r="J94" s="4">
        <f>IF(H94="","",-H94*F94-G94)</f>
        <v/>
      </c>
      <c r="K94" s="5">
        <f>IF(OR(B94="",C94=""),"",SUMIFS($H$4:H93,$B$4:B93,B94,$C$4:C93,C94))</f>
        <v/>
      </c>
      <c r="L94" s="4">
        <f>IF(OR(B94="",C94=""),"",IFERROR(LOOKUP(2,1/(($B$4:B93=B94)*($C$4:C93=C94)),$O$4:O93),0))</f>
        <v/>
      </c>
      <c r="M94" s="4">
        <f>IF(K94=0,0,L94/K94)</f>
        <v/>
      </c>
      <c r="N94" s="4">
        <f>IF(H94&lt;0,ABS(H94)*(F94-M94)-G94,0)</f>
        <v/>
      </c>
      <c r="O94" s="4">
        <f>IF(H94="","",IF(H94&gt;0,L94+I94+G94,MAX(0,L94-ABS(H94)*M94)))</f>
        <v/>
      </c>
      <c r="P94" s="5">
        <f>IF(H94="","",K94+H94)</f>
        <v/>
      </c>
      <c r="Q94" s="4">
        <f>IF(P94=0,0,O94/P94)</f>
        <v/>
      </c>
      <c r="R94" s="3" t="n"/>
      <c r="S94">
        <f>IF(H94="","",IF(P94&lt;0,"ERROR: Over-sold",IF(AND(H94&lt;0,K94=0),"ERROR: Sell w/o position","")))</f>
        <v/>
      </c>
    </row>
    <row r="95">
      <c r="A95" s="3" t="n"/>
      <c r="B95" s="3" t="n"/>
      <c r="C95" s="3" t="n"/>
      <c r="D95" s="3" t="n"/>
      <c r="E95" s="3" t="n"/>
      <c r="F95" s="3" t="n"/>
      <c r="G95" s="3" t="n"/>
      <c r="H95">
        <f>IF(OR(D95="",E95=""),"",IF(D95="BUY",E95,-E95))</f>
        <v/>
      </c>
      <c r="I95" s="4">
        <f>IF(H95="","",ABS(H95)*F95)</f>
        <v/>
      </c>
      <c r="J95" s="4">
        <f>IF(H95="","",-H95*F95-G95)</f>
        <v/>
      </c>
      <c r="K95" s="5">
        <f>IF(OR(B95="",C95=""),"",SUMIFS($H$4:H94,$B$4:B94,B95,$C$4:C94,C95))</f>
        <v/>
      </c>
      <c r="L95" s="4">
        <f>IF(OR(B95="",C95=""),"",IFERROR(LOOKUP(2,1/(($B$4:B94=B95)*($C$4:C94=C95)),$O$4:O94),0))</f>
        <v/>
      </c>
      <c r="M95" s="4">
        <f>IF(K95=0,0,L95/K95)</f>
        <v/>
      </c>
      <c r="N95" s="4">
        <f>IF(H95&lt;0,ABS(H95)*(F95-M95)-G95,0)</f>
        <v/>
      </c>
      <c r="O95" s="4">
        <f>IF(H95="","",IF(H95&gt;0,L95+I95+G95,MAX(0,L95-ABS(H95)*M95)))</f>
        <v/>
      </c>
      <c r="P95" s="5">
        <f>IF(H95="","",K95+H95)</f>
        <v/>
      </c>
      <c r="Q95" s="4">
        <f>IF(P95=0,0,O95/P95)</f>
        <v/>
      </c>
      <c r="R95" s="3" t="n"/>
      <c r="S95">
        <f>IF(H95="","",IF(P95&lt;0,"ERROR: Over-sold",IF(AND(H95&lt;0,K95=0),"ERROR: Sell w/o position","")))</f>
        <v/>
      </c>
    </row>
    <row r="96">
      <c r="A96" s="3" t="n"/>
      <c r="B96" s="3" t="n"/>
      <c r="C96" s="3" t="n"/>
      <c r="D96" s="3" t="n"/>
      <c r="E96" s="3" t="n"/>
      <c r="F96" s="3" t="n"/>
      <c r="G96" s="3" t="n"/>
      <c r="H96">
        <f>IF(OR(D96="",E96=""),"",IF(D96="BUY",E96,-E96))</f>
        <v/>
      </c>
      <c r="I96" s="4">
        <f>IF(H96="","",ABS(H96)*F96)</f>
        <v/>
      </c>
      <c r="J96" s="4">
        <f>IF(H96="","",-H96*F96-G96)</f>
        <v/>
      </c>
      <c r="K96" s="5">
        <f>IF(OR(B96="",C96=""),"",SUMIFS($H$4:H95,$B$4:B95,B96,$C$4:C95,C96))</f>
        <v/>
      </c>
      <c r="L96" s="4">
        <f>IF(OR(B96="",C96=""),"",IFERROR(LOOKUP(2,1/(($B$4:B95=B96)*($C$4:C95=C96)),$O$4:O95),0))</f>
        <v/>
      </c>
      <c r="M96" s="4">
        <f>IF(K96=0,0,L96/K96)</f>
        <v/>
      </c>
      <c r="N96" s="4">
        <f>IF(H96&lt;0,ABS(H96)*(F96-M96)-G96,0)</f>
        <v/>
      </c>
      <c r="O96" s="4">
        <f>IF(H96="","",IF(H96&gt;0,L96+I96+G96,MAX(0,L96-ABS(H96)*M96)))</f>
        <v/>
      </c>
      <c r="P96" s="5">
        <f>IF(H96="","",K96+H96)</f>
        <v/>
      </c>
      <c r="Q96" s="4">
        <f>IF(P96=0,0,O96/P96)</f>
        <v/>
      </c>
      <c r="R96" s="3" t="n"/>
      <c r="S96">
        <f>IF(H96="","",IF(P96&lt;0,"ERROR: Over-sold",IF(AND(H96&lt;0,K96=0),"ERROR: Sell w/o position","")))</f>
        <v/>
      </c>
    </row>
    <row r="97">
      <c r="A97" s="3" t="n"/>
      <c r="B97" s="3" t="n"/>
      <c r="C97" s="3" t="n"/>
      <c r="D97" s="3" t="n"/>
      <c r="E97" s="3" t="n"/>
      <c r="F97" s="3" t="n"/>
      <c r="G97" s="3" t="n"/>
      <c r="H97">
        <f>IF(OR(D97="",E97=""),"",IF(D97="BUY",E97,-E97))</f>
        <v/>
      </c>
      <c r="I97" s="4">
        <f>IF(H97="","",ABS(H97)*F97)</f>
        <v/>
      </c>
      <c r="J97" s="4">
        <f>IF(H97="","",-H97*F97-G97)</f>
        <v/>
      </c>
      <c r="K97" s="5">
        <f>IF(OR(B97="",C97=""),"",SUMIFS($H$4:H96,$B$4:B96,B97,$C$4:C96,C97))</f>
        <v/>
      </c>
      <c r="L97" s="4">
        <f>IF(OR(B97="",C97=""),"",IFERROR(LOOKUP(2,1/(($B$4:B96=B97)*($C$4:C96=C97)),$O$4:O96),0))</f>
        <v/>
      </c>
      <c r="M97" s="4">
        <f>IF(K97=0,0,L97/K97)</f>
        <v/>
      </c>
      <c r="N97" s="4">
        <f>IF(H97&lt;0,ABS(H97)*(F97-M97)-G97,0)</f>
        <v/>
      </c>
      <c r="O97" s="4">
        <f>IF(H97="","",IF(H97&gt;0,L97+I97+G97,MAX(0,L97-ABS(H97)*M97)))</f>
        <v/>
      </c>
      <c r="P97" s="5">
        <f>IF(H97="","",K97+H97)</f>
        <v/>
      </c>
      <c r="Q97" s="4">
        <f>IF(P97=0,0,O97/P97)</f>
        <v/>
      </c>
      <c r="R97" s="3" t="n"/>
      <c r="S97">
        <f>IF(H97="","",IF(P97&lt;0,"ERROR: Over-sold",IF(AND(H97&lt;0,K97=0),"ERROR: Sell w/o position","")))</f>
        <v/>
      </c>
    </row>
    <row r="98">
      <c r="A98" s="3" t="n"/>
      <c r="B98" s="3" t="n"/>
      <c r="C98" s="3" t="n"/>
      <c r="D98" s="3" t="n"/>
      <c r="E98" s="3" t="n"/>
      <c r="F98" s="3" t="n"/>
      <c r="G98" s="3" t="n"/>
      <c r="H98">
        <f>IF(OR(D98="",E98=""),"",IF(D98="BUY",E98,-E98))</f>
        <v/>
      </c>
      <c r="I98" s="4">
        <f>IF(H98="","",ABS(H98)*F98)</f>
        <v/>
      </c>
      <c r="J98" s="4">
        <f>IF(H98="","",-H98*F98-G98)</f>
        <v/>
      </c>
      <c r="K98" s="5">
        <f>IF(OR(B98="",C98=""),"",SUMIFS($H$4:H97,$B$4:B97,B98,$C$4:C97,C98))</f>
        <v/>
      </c>
      <c r="L98" s="4">
        <f>IF(OR(B98="",C98=""),"",IFERROR(LOOKUP(2,1/(($B$4:B97=B98)*($C$4:C97=C98)),$O$4:O97),0))</f>
        <v/>
      </c>
      <c r="M98" s="4">
        <f>IF(K98=0,0,L98/K98)</f>
        <v/>
      </c>
      <c r="N98" s="4">
        <f>IF(H98&lt;0,ABS(H98)*(F98-M98)-G98,0)</f>
        <v/>
      </c>
      <c r="O98" s="4">
        <f>IF(H98="","",IF(H98&gt;0,L98+I98+G98,MAX(0,L98-ABS(H98)*M98)))</f>
        <v/>
      </c>
      <c r="P98" s="5">
        <f>IF(H98="","",K98+H98)</f>
        <v/>
      </c>
      <c r="Q98" s="4">
        <f>IF(P98=0,0,O98/P98)</f>
        <v/>
      </c>
      <c r="R98" s="3" t="n"/>
      <c r="S98">
        <f>IF(H98="","",IF(P98&lt;0,"ERROR: Over-sold",IF(AND(H98&lt;0,K98=0),"ERROR: Sell w/o position","")))</f>
        <v/>
      </c>
    </row>
    <row r="99">
      <c r="A99" s="3" t="n"/>
      <c r="B99" s="3" t="n"/>
      <c r="C99" s="3" t="n"/>
      <c r="D99" s="3" t="n"/>
      <c r="E99" s="3" t="n"/>
      <c r="F99" s="3" t="n"/>
      <c r="G99" s="3" t="n"/>
      <c r="H99">
        <f>IF(OR(D99="",E99=""),"",IF(D99="BUY",E99,-E99))</f>
        <v/>
      </c>
      <c r="I99" s="4">
        <f>IF(H99="","",ABS(H99)*F99)</f>
        <v/>
      </c>
      <c r="J99" s="4">
        <f>IF(H99="","",-H99*F99-G99)</f>
        <v/>
      </c>
      <c r="K99" s="5">
        <f>IF(OR(B99="",C99=""),"",SUMIFS($H$4:H98,$B$4:B98,B99,$C$4:C98,C99))</f>
        <v/>
      </c>
      <c r="L99" s="4">
        <f>IF(OR(B99="",C99=""),"",IFERROR(LOOKUP(2,1/(($B$4:B98=B99)*($C$4:C98=C99)),$O$4:O98),0))</f>
        <v/>
      </c>
      <c r="M99" s="4">
        <f>IF(K99=0,0,L99/K99)</f>
        <v/>
      </c>
      <c r="N99" s="4">
        <f>IF(H99&lt;0,ABS(H99)*(F99-M99)-G99,0)</f>
        <v/>
      </c>
      <c r="O99" s="4">
        <f>IF(H99="","",IF(H99&gt;0,L99+I99+G99,MAX(0,L99-ABS(H99)*M99)))</f>
        <v/>
      </c>
      <c r="P99" s="5">
        <f>IF(H99="","",K99+H99)</f>
        <v/>
      </c>
      <c r="Q99" s="4">
        <f>IF(P99=0,0,O99/P99)</f>
        <v/>
      </c>
      <c r="R99" s="3" t="n"/>
      <c r="S99">
        <f>IF(H99="","",IF(P99&lt;0,"ERROR: Over-sold",IF(AND(H99&lt;0,K99=0),"ERROR: Sell w/o position","")))</f>
        <v/>
      </c>
    </row>
    <row r="100">
      <c r="A100" s="3" t="n"/>
      <c r="B100" s="3" t="n"/>
      <c r="C100" s="3" t="n"/>
      <c r="D100" s="3" t="n"/>
      <c r="E100" s="3" t="n"/>
      <c r="F100" s="3" t="n"/>
      <c r="G100" s="3" t="n"/>
      <c r="H100">
        <f>IF(OR(D100="",E100=""),"",IF(D100="BUY",E100,-E100))</f>
        <v/>
      </c>
      <c r="I100" s="4">
        <f>IF(H100="","",ABS(H100)*F100)</f>
        <v/>
      </c>
      <c r="J100" s="4">
        <f>IF(H100="","",-H100*F100-G100)</f>
        <v/>
      </c>
      <c r="K100" s="5">
        <f>IF(OR(B100="",C100=""),"",SUMIFS($H$4:H99,$B$4:B99,B100,$C$4:C99,C100))</f>
        <v/>
      </c>
      <c r="L100" s="4">
        <f>IF(OR(B100="",C100=""),"",IFERROR(LOOKUP(2,1/(($B$4:B99=B100)*($C$4:C99=C100)),$O$4:O99),0))</f>
        <v/>
      </c>
      <c r="M100" s="4">
        <f>IF(K100=0,0,L100/K100)</f>
        <v/>
      </c>
      <c r="N100" s="4">
        <f>IF(H100&lt;0,ABS(H100)*(F100-M100)-G100,0)</f>
        <v/>
      </c>
      <c r="O100" s="4">
        <f>IF(H100="","",IF(H100&gt;0,L100+I100+G100,MAX(0,L100-ABS(H100)*M100)))</f>
        <v/>
      </c>
      <c r="P100" s="5">
        <f>IF(H100="","",K100+H100)</f>
        <v/>
      </c>
      <c r="Q100" s="4">
        <f>IF(P100=0,0,O100/P100)</f>
        <v/>
      </c>
      <c r="R100" s="3" t="n"/>
      <c r="S100">
        <f>IF(H100="","",IF(P100&lt;0,"ERROR: Over-sold",IF(AND(H100&lt;0,K100=0),"ERROR: Sell w/o position","")))</f>
        <v/>
      </c>
    </row>
    <row r="101">
      <c r="A101" s="3" t="n"/>
      <c r="B101" s="3" t="n"/>
      <c r="C101" s="3" t="n"/>
      <c r="D101" s="3" t="n"/>
      <c r="E101" s="3" t="n"/>
      <c r="F101" s="3" t="n"/>
      <c r="G101" s="3" t="n"/>
      <c r="H101">
        <f>IF(OR(D101="",E101=""),"",IF(D101="BUY",E101,-E101))</f>
        <v/>
      </c>
      <c r="I101" s="4">
        <f>IF(H101="","",ABS(H101)*F101)</f>
        <v/>
      </c>
      <c r="J101" s="4">
        <f>IF(H101="","",-H101*F101-G101)</f>
        <v/>
      </c>
      <c r="K101" s="5">
        <f>IF(OR(B101="",C101=""),"",SUMIFS($H$4:H100,$B$4:B100,B101,$C$4:C100,C101))</f>
        <v/>
      </c>
      <c r="L101" s="4">
        <f>IF(OR(B101="",C101=""),"",IFERROR(LOOKUP(2,1/(($B$4:B100=B101)*($C$4:C100=C101)),$O$4:O100),0))</f>
        <v/>
      </c>
      <c r="M101" s="4">
        <f>IF(K101=0,0,L101/K101)</f>
        <v/>
      </c>
      <c r="N101" s="4">
        <f>IF(H101&lt;0,ABS(H101)*(F101-M101)-G101,0)</f>
        <v/>
      </c>
      <c r="O101" s="4">
        <f>IF(H101="","",IF(H101&gt;0,L101+I101+G101,MAX(0,L101-ABS(H101)*M101)))</f>
        <v/>
      </c>
      <c r="P101" s="5">
        <f>IF(H101="","",K101+H101)</f>
        <v/>
      </c>
      <c r="Q101" s="4">
        <f>IF(P101=0,0,O101/P101)</f>
        <v/>
      </c>
      <c r="R101" s="3" t="n"/>
      <c r="S101">
        <f>IF(H101="","",IF(P101&lt;0,"ERROR: Over-sold",IF(AND(H101&lt;0,K101=0),"ERROR: Sell w/o position","")))</f>
        <v/>
      </c>
    </row>
    <row r="102">
      <c r="A102" s="3" t="n"/>
      <c r="B102" s="3" t="n"/>
      <c r="C102" s="3" t="n"/>
      <c r="D102" s="3" t="n"/>
      <c r="E102" s="3" t="n"/>
      <c r="F102" s="3" t="n"/>
      <c r="G102" s="3" t="n"/>
      <c r="H102">
        <f>IF(OR(D102="",E102=""),"",IF(D102="BUY",E102,-E102))</f>
        <v/>
      </c>
      <c r="I102" s="4">
        <f>IF(H102="","",ABS(H102)*F102)</f>
        <v/>
      </c>
      <c r="J102" s="4">
        <f>IF(H102="","",-H102*F102-G102)</f>
        <v/>
      </c>
      <c r="K102" s="5">
        <f>IF(OR(B102="",C102=""),"",SUMIFS($H$4:H101,$B$4:B101,B102,$C$4:C101,C102))</f>
        <v/>
      </c>
      <c r="L102" s="4">
        <f>IF(OR(B102="",C102=""),"",IFERROR(LOOKUP(2,1/(($B$4:B101=B102)*($C$4:C101=C102)),$O$4:O101),0))</f>
        <v/>
      </c>
      <c r="M102" s="4">
        <f>IF(K102=0,0,L102/K102)</f>
        <v/>
      </c>
      <c r="N102" s="4">
        <f>IF(H102&lt;0,ABS(H102)*(F102-M102)-G102,0)</f>
        <v/>
      </c>
      <c r="O102" s="4">
        <f>IF(H102="","",IF(H102&gt;0,L102+I102+G102,MAX(0,L102-ABS(H102)*M102)))</f>
        <v/>
      </c>
      <c r="P102" s="5">
        <f>IF(H102="","",K102+H102)</f>
        <v/>
      </c>
      <c r="Q102" s="4">
        <f>IF(P102=0,0,O102/P102)</f>
        <v/>
      </c>
      <c r="R102" s="3" t="n"/>
      <c r="S102">
        <f>IF(H102="","",IF(P102&lt;0,"ERROR: Over-sold",IF(AND(H102&lt;0,K102=0),"ERROR: Sell w/o position","")))</f>
        <v/>
      </c>
    </row>
    <row r="103">
      <c r="A103" s="3" t="n"/>
      <c r="B103" s="3" t="n"/>
      <c r="C103" s="3" t="n"/>
      <c r="D103" s="3" t="n"/>
      <c r="E103" s="3" t="n"/>
      <c r="F103" s="3" t="n"/>
      <c r="G103" s="3" t="n"/>
      <c r="H103">
        <f>IF(OR(D103="",E103=""),"",IF(D103="BUY",E103,-E103))</f>
        <v/>
      </c>
      <c r="I103" s="4">
        <f>IF(H103="","",ABS(H103)*F103)</f>
        <v/>
      </c>
      <c r="J103" s="4">
        <f>IF(H103="","",-H103*F103-G103)</f>
        <v/>
      </c>
      <c r="K103" s="5">
        <f>IF(OR(B103="",C103=""),"",SUMIFS($H$4:H102,$B$4:B102,B103,$C$4:C102,C103))</f>
        <v/>
      </c>
      <c r="L103" s="4">
        <f>IF(OR(B103="",C103=""),"",IFERROR(LOOKUP(2,1/(($B$4:B102=B103)*($C$4:C102=C103)),$O$4:O102),0))</f>
        <v/>
      </c>
      <c r="M103" s="4">
        <f>IF(K103=0,0,L103/K103)</f>
        <v/>
      </c>
      <c r="N103" s="4">
        <f>IF(H103&lt;0,ABS(H103)*(F103-M103)-G103,0)</f>
        <v/>
      </c>
      <c r="O103" s="4">
        <f>IF(H103="","",IF(H103&gt;0,L103+I103+G103,MAX(0,L103-ABS(H103)*M103)))</f>
        <v/>
      </c>
      <c r="P103" s="5">
        <f>IF(H103="","",K103+H103)</f>
        <v/>
      </c>
      <c r="Q103" s="4">
        <f>IF(P103=0,0,O103/P103)</f>
        <v/>
      </c>
      <c r="R103" s="3" t="n"/>
      <c r="S103">
        <f>IF(H103="","",IF(P103&lt;0,"ERROR: Over-sold",IF(AND(H103&lt;0,K103=0),"ERROR: Sell w/o position","")))</f>
        <v/>
      </c>
    </row>
    <row r="104">
      <c r="A104" s="3" t="n"/>
      <c r="B104" s="3" t="n"/>
      <c r="C104" s="3" t="n"/>
      <c r="D104" s="3" t="n"/>
      <c r="E104" s="3" t="n"/>
      <c r="F104" s="3" t="n"/>
      <c r="G104" s="3" t="n"/>
      <c r="H104">
        <f>IF(OR(D104="",E104=""),"",IF(D104="BUY",E104,-E104))</f>
        <v/>
      </c>
      <c r="I104" s="4">
        <f>IF(H104="","",ABS(H104)*F104)</f>
        <v/>
      </c>
      <c r="J104" s="4">
        <f>IF(H104="","",-H104*F104-G104)</f>
        <v/>
      </c>
      <c r="K104" s="5">
        <f>IF(OR(B104="",C104=""),"",SUMIFS($H$4:H103,$B$4:B103,B104,$C$4:C103,C104))</f>
        <v/>
      </c>
      <c r="L104" s="4">
        <f>IF(OR(B104="",C104=""),"",IFERROR(LOOKUP(2,1/(($B$4:B103=B104)*($C$4:C103=C104)),$O$4:O103),0))</f>
        <v/>
      </c>
      <c r="M104" s="4">
        <f>IF(K104=0,0,L104/K104)</f>
        <v/>
      </c>
      <c r="N104" s="4">
        <f>IF(H104&lt;0,ABS(H104)*(F104-M104)-G104,0)</f>
        <v/>
      </c>
      <c r="O104" s="4">
        <f>IF(H104="","",IF(H104&gt;0,L104+I104+G104,MAX(0,L104-ABS(H104)*M104)))</f>
        <v/>
      </c>
      <c r="P104" s="5">
        <f>IF(H104="","",K104+H104)</f>
        <v/>
      </c>
      <c r="Q104" s="4">
        <f>IF(P104=0,0,O104/P104)</f>
        <v/>
      </c>
      <c r="R104" s="3" t="n"/>
      <c r="S104">
        <f>IF(H104="","",IF(P104&lt;0,"ERROR: Over-sold",IF(AND(H104&lt;0,K104=0),"ERROR: Sell w/o position","")))</f>
        <v/>
      </c>
    </row>
    <row r="105">
      <c r="A105" s="3" t="n"/>
      <c r="B105" s="3" t="n"/>
      <c r="C105" s="3" t="n"/>
      <c r="D105" s="3" t="n"/>
      <c r="E105" s="3" t="n"/>
      <c r="F105" s="3" t="n"/>
      <c r="G105" s="3" t="n"/>
      <c r="H105">
        <f>IF(OR(D105="",E105=""),"",IF(D105="BUY",E105,-E105))</f>
        <v/>
      </c>
      <c r="I105" s="4">
        <f>IF(H105="","",ABS(H105)*F105)</f>
        <v/>
      </c>
      <c r="J105" s="4">
        <f>IF(H105="","",-H105*F105-G105)</f>
        <v/>
      </c>
      <c r="K105" s="5">
        <f>IF(OR(B105="",C105=""),"",SUMIFS($H$4:H104,$B$4:B104,B105,$C$4:C104,C105))</f>
        <v/>
      </c>
      <c r="L105" s="4">
        <f>IF(OR(B105="",C105=""),"",IFERROR(LOOKUP(2,1/(($B$4:B104=B105)*($C$4:C104=C105)),$O$4:O104),0))</f>
        <v/>
      </c>
      <c r="M105" s="4">
        <f>IF(K105=0,0,L105/K105)</f>
        <v/>
      </c>
      <c r="N105" s="4">
        <f>IF(H105&lt;0,ABS(H105)*(F105-M105)-G105,0)</f>
        <v/>
      </c>
      <c r="O105" s="4">
        <f>IF(H105="","",IF(H105&gt;0,L105+I105+G105,MAX(0,L105-ABS(H105)*M105)))</f>
        <v/>
      </c>
      <c r="P105" s="5">
        <f>IF(H105="","",K105+H105)</f>
        <v/>
      </c>
      <c r="Q105" s="4">
        <f>IF(P105=0,0,O105/P105)</f>
        <v/>
      </c>
      <c r="R105" s="3" t="n"/>
      <c r="S105">
        <f>IF(H105="","",IF(P105&lt;0,"ERROR: Over-sold",IF(AND(H105&lt;0,K105=0),"ERROR: Sell w/o position","")))</f>
        <v/>
      </c>
    </row>
    <row r="106">
      <c r="A106" s="3" t="n"/>
      <c r="B106" s="3" t="n"/>
      <c r="C106" s="3" t="n"/>
      <c r="D106" s="3" t="n"/>
      <c r="E106" s="3" t="n"/>
      <c r="F106" s="3" t="n"/>
      <c r="G106" s="3" t="n"/>
      <c r="H106">
        <f>IF(OR(D106="",E106=""),"",IF(D106="BUY",E106,-E106))</f>
        <v/>
      </c>
      <c r="I106" s="4">
        <f>IF(H106="","",ABS(H106)*F106)</f>
        <v/>
      </c>
      <c r="J106" s="4">
        <f>IF(H106="","",-H106*F106-G106)</f>
        <v/>
      </c>
      <c r="K106" s="5">
        <f>IF(OR(B106="",C106=""),"",SUMIFS($H$4:H105,$B$4:B105,B106,$C$4:C105,C106))</f>
        <v/>
      </c>
      <c r="L106" s="4">
        <f>IF(OR(B106="",C106=""),"",IFERROR(LOOKUP(2,1/(($B$4:B105=B106)*($C$4:C105=C106)),$O$4:O105),0))</f>
        <v/>
      </c>
      <c r="M106" s="4">
        <f>IF(K106=0,0,L106/K106)</f>
        <v/>
      </c>
      <c r="N106" s="4">
        <f>IF(H106&lt;0,ABS(H106)*(F106-M106)-G106,0)</f>
        <v/>
      </c>
      <c r="O106" s="4">
        <f>IF(H106="","",IF(H106&gt;0,L106+I106+G106,MAX(0,L106-ABS(H106)*M106)))</f>
        <v/>
      </c>
      <c r="P106" s="5">
        <f>IF(H106="","",K106+H106)</f>
        <v/>
      </c>
      <c r="Q106" s="4">
        <f>IF(P106=0,0,O106/P106)</f>
        <v/>
      </c>
      <c r="R106" s="3" t="n"/>
      <c r="S106">
        <f>IF(H106="","",IF(P106&lt;0,"ERROR: Over-sold",IF(AND(H106&lt;0,K106=0),"ERROR: Sell w/o position","")))</f>
        <v/>
      </c>
    </row>
    <row r="107">
      <c r="A107" s="3" t="n"/>
      <c r="B107" s="3" t="n"/>
      <c r="C107" s="3" t="n"/>
      <c r="D107" s="3" t="n"/>
      <c r="E107" s="3" t="n"/>
      <c r="F107" s="3" t="n"/>
      <c r="G107" s="3" t="n"/>
      <c r="H107">
        <f>IF(OR(D107="",E107=""),"",IF(D107="BUY",E107,-E107))</f>
        <v/>
      </c>
      <c r="I107" s="4">
        <f>IF(H107="","",ABS(H107)*F107)</f>
        <v/>
      </c>
      <c r="J107" s="4">
        <f>IF(H107="","",-H107*F107-G107)</f>
        <v/>
      </c>
      <c r="K107" s="5">
        <f>IF(OR(B107="",C107=""),"",SUMIFS($H$4:H106,$B$4:B106,B107,$C$4:C106,C107))</f>
        <v/>
      </c>
      <c r="L107" s="4">
        <f>IF(OR(B107="",C107=""),"",IFERROR(LOOKUP(2,1/(($B$4:B106=B107)*($C$4:C106=C107)),$O$4:O106),0))</f>
        <v/>
      </c>
      <c r="M107" s="4">
        <f>IF(K107=0,0,L107/K107)</f>
        <v/>
      </c>
      <c r="N107" s="4">
        <f>IF(H107&lt;0,ABS(H107)*(F107-M107)-G107,0)</f>
        <v/>
      </c>
      <c r="O107" s="4">
        <f>IF(H107="","",IF(H107&gt;0,L107+I107+G107,MAX(0,L107-ABS(H107)*M107)))</f>
        <v/>
      </c>
      <c r="P107" s="5">
        <f>IF(H107="","",K107+H107)</f>
        <v/>
      </c>
      <c r="Q107" s="4">
        <f>IF(P107=0,0,O107/P107)</f>
        <v/>
      </c>
      <c r="R107" s="3" t="n"/>
      <c r="S107">
        <f>IF(H107="","",IF(P107&lt;0,"ERROR: Over-sold",IF(AND(H107&lt;0,K107=0),"ERROR: Sell w/o position","")))</f>
        <v/>
      </c>
    </row>
    <row r="108">
      <c r="A108" s="3" t="n"/>
      <c r="B108" s="3" t="n"/>
      <c r="C108" s="3" t="n"/>
      <c r="D108" s="3" t="n"/>
      <c r="E108" s="3" t="n"/>
      <c r="F108" s="3" t="n"/>
      <c r="G108" s="3" t="n"/>
      <c r="H108">
        <f>IF(OR(D108="",E108=""),"",IF(D108="BUY",E108,-E108))</f>
        <v/>
      </c>
      <c r="I108" s="4">
        <f>IF(H108="","",ABS(H108)*F108)</f>
        <v/>
      </c>
      <c r="J108" s="4">
        <f>IF(H108="","",-H108*F108-G108)</f>
        <v/>
      </c>
      <c r="K108" s="5">
        <f>IF(OR(B108="",C108=""),"",SUMIFS($H$4:H107,$B$4:B107,B108,$C$4:C107,C108))</f>
        <v/>
      </c>
      <c r="L108" s="4">
        <f>IF(OR(B108="",C108=""),"",IFERROR(LOOKUP(2,1/(($B$4:B107=B108)*($C$4:C107=C108)),$O$4:O107),0))</f>
        <v/>
      </c>
      <c r="M108" s="4">
        <f>IF(K108=0,0,L108/K108)</f>
        <v/>
      </c>
      <c r="N108" s="4">
        <f>IF(H108&lt;0,ABS(H108)*(F108-M108)-G108,0)</f>
        <v/>
      </c>
      <c r="O108" s="4">
        <f>IF(H108="","",IF(H108&gt;0,L108+I108+G108,MAX(0,L108-ABS(H108)*M108)))</f>
        <v/>
      </c>
      <c r="P108" s="5">
        <f>IF(H108="","",K108+H108)</f>
        <v/>
      </c>
      <c r="Q108" s="4">
        <f>IF(P108=0,0,O108/P108)</f>
        <v/>
      </c>
      <c r="R108" s="3" t="n"/>
      <c r="S108">
        <f>IF(H108="","",IF(P108&lt;0,"ERROR: Over-sold",IF(AND(H108&lt;0,K108=0),"ERROR: Sell w/o position","")))</f>
        <v/>
      </c>
    </row>
    <row r="109">
      <c r="A109" s="3" t="n"/>
      <c r="B109" s="3" t="n"/>
      <c r="C109" s="3" t="n"/>
      <c r="D109" s="3" t="n"/>
      <c r="E109" s="3" t="n"/>
      <c r="F109" s="3" t="n"/>
      <c r="G109" s="3" t="n"/>
      <c r="H109">
        <f>IF(OR(D109="",E109=""),"",IF(D109="BUY",E109,-E109))</f>
        <v/>
      </c>
      <c r="I109" s="4">
        <f>IF(H109="","",ABS(H109)*F109)</f>
        <v/>
      </c>
      <c r="J109" s="4">
        <f>IF(H109="","",-H109*F109-G109)</f>
        <v/>
      </c>
      <c r="K109" s="5">
        <f>IF(OR(B109="",C109=""),"",SUMIFS($H$4:H108,$B$4:B108,B109,$C$4:C108,C109))</f>
        <v/>
      </c>
      <c r="L109" s="4">
        <f>IF(OR(B109="",C109=""),"",IFERROR(LOOKUP(2,1/(($B$4:B108=B109)*($C$4:C108=C109)),$O$4:O108),0))</f>
        <v/>
      </c>
      <c r="M109" s="4">
        <f>IF(K109=0,0,L109/K109)</f>
        <v/>
      </c>
      <c r="N109" s="4">
        <f>IF(H109&lt;0,ABS(H109)*(F109-M109)-G109,0)</f>
        <v/>
      </c>
      <c r="O109" s="4">
        <f>IF(H109="","",IF(H109&gt;0,L109+I109+G109,MAX(0,L109-ABS(H109)*M109)))</f>
        <v/>
      </c>
      <c r="P109" s="5">
        <f>IF(H109="","",K109+H109)</f>
        <v/>
      </c>
      <c r="Q109" s="4">
        <f>IF(P109=0,0,O109/P109)</f>
        <v/>
      </c>
      <c r="R109" s="3" t="n"/>
      <c r="S109">
        <f>IF(H109="","",IF(P109&lt;0,"ERROR: Over-sold",IF(AND(H109&lt;0,K109=0),"ERROR: Sell w/o position","")))</f>
        <v/>
      </c>
    </row>
    <row r="110">
      <c r="A110" s="3" t="n"/>
      <c r="B110" s="3" t="n"/>
      <c r="C110" s="3" t="n"/>
      <c r="D110" s="3" t="n"/>
      <c r="E110" s="3" t="n"/>
      <c r="F110" s="3" t="n"/>
      <c r="G110" s="3" t="n"/>
      <c r="H110">
        <f>IF(OR(D110="",E110=""),"",IF(D110="BUY",E110,-E110))</f>
        <v/>
      </c>
      <c r="I110" s="4">
        <f>IF(H110="","",ABS(H110)*F110)</f>
        <v/>
      </c>
      <c r="J110" s="4">
        <f>IF(H110="","",-H110*F110-G110)</f>
        <v/>
      </c>
      <c r="K110" s="5">
        <f>IF(OR(B110="",C110=""),"",SUMIFS($H$4:H109,$B$4:B109,B110,$C$4:C109,C110))</f>
        <v/>
      </c>
      <c r="L110" s="4">
        <f>IF(OR(B110="",C110=""),"",IFERROR(LOOKUP(2,1/(($B$4:B109=B110)*($C$4:C109=C110)),$O$4:O109),0))</f>
        <v/>
      </c>
      <c r="M110" s="4">
        <f>IF(K110=0,0,L110/K110)</f>
        <v/>
      </c>
      <c r="N110" s="4">
        <f>IF(H110&lt;0,ABS(H110)*(F110-M110)-G110,0)</f>
        <v/>
      </c>
      <c r="O110" s="4">
        <f>IF(H110="","",IF(H110&gt;0,L110+I110+G110,MAX(0,L110-ABS(H110)*M110)))</f>
        <v/>
      </c>
      <c r="P110" s="5">
        <f>IF(H110="","",K110+H110)</f>
        <v/>
      </c>
      <c r="Q110" s="4">
        <f>IF(P110=0,0,O110/P110)</f>
        <v/>
      </c>
      <c r="R110" s="3" t="n"/>
      <c r="S110">
        <f>IF(H110="","",IF(P110&lt;0,"ERROR: Over-sold",IF(AND(H110&lt;0,K110=0),"ERROR: Sell w/o position","")))</f>
        <v/>
      </c>
    </row>
    <row r="111">
      <c r="A111" s="3" t="n"/>
      <c r="B111" s="3" t="n"/>
      <c r="C111" s="3" t="n"/>
      <c r="D111" s="3" t="n"/>
      <c r="E111" s="3" t="n"/>
      <c r="F111" s="3" t="n"/>
      <c r="G111" s="3" t="n"/>
      <c r="H111">
        <f>IF(OR(D111="",E111=""),"",IF(D111="BUY",E111,-E111))</f>
        <v/>
      </c>
      <c r="I111" s="4">
        <f>IF(H111="","",ABS(H111)*F111)</f>
        <v/>
      </c>
      <c r="J111" s="4">
        <f>IF(H111="","",-H111*F111-G111)</f>
        <v/>
      </c>
      <c r="K111" s="5">
        <f>IF(OR(B111="",C111=""),"",SUMIFS($H$4:H110,$B$4:B110,B111,$C$4:C110,C111))</f>
        <v/>
      </c>
      <c r="L111" s="4">
        <f>IF(OR(B111="",C111=""),"",IFERROR(LOOKUP(2,1/(($B$4:B110=B111)*($C$4:C110=C111)),$O$4:O110),0))</f>
        <v/>
      </c>
      <c r="M111" s="4">
        <f>IF(K111=0,0,L111/K111)</f>
        <v/>
      </c>
      <c r="N111" s="4">
        <f>IF(H111&lt;0,ABS(H111)*(F111-M111)-G111,0)</f>
        <v/>
      </c>
      <c r="O111" s="4">
        <f>IF(H111="","",IF(H111&gt;0,L111+I111+G111,MAX(0,L111-ABS(H111)*M111)))</f>
        <v/>
      </c>
      <c r="P111" s="5">
        <f>IF(H111="","",K111+H111)</f>
        <v/>
      </c>
      <c r="Q111" s="4">
        <f>IF(P111=0,0,O111/P111)</f>
        <v/>
      </c>
      <c r="R111" s="3" t="n"/>
      <c r="S111">
        <f>IF(H111="","",IF(P111&lt;0,"ERROR: Over-sold",IF(AND(H111&lt;0,K111=0),"ERROR: Sell w/o position","")))</f>
        <v/>
      </c>
    </row>
    <row r="112">
      <c r="A112" s="3" t="n"/>
      <c r="B112" s="3" t="n"/>
      <c r="C112" s="3" t="n"/>
      <c r="D112" s="3" t="n"/>
      <c r="E112" s="3" t="n"/>
      <c r="F112" s="3" t="n"/>
      <c r="G112" s="3" t="n"/>
      <c r="H112">
        <f>IF(OR(D112="",E112=""),"",IF(D112="BUY",E112,-E112))</f>
        <v/>
      </c>
      <c r="I112" s="4">
        <f>IF(H112="","",ABS(H112)*F112)</f>
        <v/>
      </c>
      <c r="J112" s="4">
        <f>IF(H112="","",-H112*F112-G112)</f>
        <v/>
      </c>
      <c r="K112" s="5">
        <f>IF(OR(B112="",C112=""),"",SUMIFS($H$4:H111,$B$4:B111,B112,$C$4:C111,C112))</f>
        <v/>
      </c>
      <c r="L112" s="4">
        <f>IF(OR(B112="",C112=""),"",IFERROR(LOOKUP(2,1/(($B$4:B111=B112)*($C$4:C111=C112)),$O$4:O111),0))</f>
        <v/>
      </c>
      <c r="M112" s="4">
        <f>IF(K112=0,0,L112/K112)</f>
        <v/>
      </c>
      <c r="N112" s="4">
        <f>IF(H112&lt;0,ABS(H112)*(F112-M112)-G112,0)</f>
        <v/>
      </c>
      <c r="O112" s="4">
        <f>IF(H112="","",IF(H112&gt;0,L112+I112+G112,MAX(0,L112-ABS(H112)*M112)))</f>
        <v/>
      </c>
      <c r="P112" s="5">
        <f>IF(H112="","",K112+H112)</f>
        <v/>
      </c>
      <c r="Q112" s="4">
        <f>IF(P112=0,0,O112/P112)</f>
        <v/>
      </c>
      <c r="R112" s="3" t="n"/>
      <c r="S112">
        <f>IF(H112="","",IF(P112&lt;0,"ERROR: Over-sold",IF(AND(H112&lt;0,K112=0),"ERROR: Sell w/o position","")))</f>
        <v/>
      </c>
    </row>
    <row r="113">
      <c r="A113" s="3" t="n"/>
      <c r="B113" s="3" t="n"/>
      <c r="C113" s="3" t="n"/>
      <c r="D113" s="3" t="n"/>
      <c r="E113" s="3" t="n"/>
      <c r="F113" s="3" t="n"/>
      <c r="G113" s="3" t="n"/>
      <c r="H113">
        <f>IF(OR(D113="",E113=""),"",IF(D113="BUY",E113,-E113))</f>
        <v/>
      </c>
      <c r="I113" s="4">
        <f>IF(H113="","",ABS(H113)*F113)</f>
        <v/>
      </c>
      <c r="J113" s="4">
        <f>IF(H113="","",-H113*F113-G113)</f>
        <v/>
      </c>
      <c r="K113" s="5">
        <f>IF(OR(B113="",C113=""),"",SUMIFS($H$4:H112,$B$4:B112,B113,$C$4:C112,C113))</f>
        <v/>
      </c>
      <c r="L113" s="4">
        <f>IF(OR(B113="",C113=""),"",IFERROR(LOOKUP(2,1/(($B$4:B112=B113)*($C$4:C112=C113)),$O$4:O112),0))</f>
        <v/>
      </c>
      <c r="M113" s="4">
        <f>IF(K113=0,0,L113/K113)</f>
        <v/>
      </c>
      <c r="N113" s="4">
        <f>IF(H113&lt;0,ABS(H113)*(F113-M113)-G113,0)</f>
        <v/>
      </c>
      <c r="O113" s="4">
        <f>IF(H113="","",IF(H113&gt;0,L113+I113+G113,MAX(0,L113-ABS(H113)*M113)))</f>
        <v/>
      </c>
      <c r="P113" s="5">
        <f>IF(H113="","",K113+H113)</f>
        <v/>
      </c>
      <c r="Q113" s="4">
        <f>IF(P113=0,0,O113/P113)</f>
        <v/>
      </c>
      <c r="R113" s="3" t="n"/>
      <c r="S113">
        <f>IF(H113="","",IF(P113&lt;0,"ERROR: Over-sold",IF(AND(H113&lt;0,K113=0),"ERROR: Sell w/o position","")))</f>
        <v/>
      </c>
    </row>
    <row r="114">
      <c r="A114" s="3" t="n"/>
      <c r="B114" s="3" t="n"/>
      <c r="C114" s="3" t="n"/>
      <c r="D114" s="3" t="n"/>
      <c r="E114" s="3" t="n"/>
      <c r="F114" s="3" t="n"/>
      <c r="G114" s="3" t="n"/>
      <c r="H114">
        <f>IF(OR(D114="",E114=""),"",IF(D114="BUY",E114,-E114))</f>
        <v/>
      </c>
      <c r="I114" s="4">
        <f>IF(H114="","",ABS(H114)*F114)</f>
        <v/>
      </c>
      <c r="J114" s="4">
        <f>IF(H114="","",-H114*F114-G114)</f>
        <v/>
      </c>
      <c r="K114" s="5">
        <f>IF(OR(B114="",C114=""),"",SUMIFS($H$4:H113,$B$4:B113,B114,$C$4:C113,C114))</f>
        <v/>
      </c>
      <c r="L114" s="4">
        <f>IF(OR(B114="",C114=""),"",IFERROR(LOOKUP(2,1/(($B$4:B113=B114)*($C$4:C113=C114)),$O$4:O113),0))</f>
        <v/>
      </c>
      <c r="M114" s="4">
        <f>IF(K114=0,0,L114/K114)</f>
        <v/>
      </c>
      <c r="N114" s="4">
        <f>IF(H114&lt;0,ABS(H114)*(F114-M114)-G114,0)</f>
        <v/>
      </c>
      <c r="O114" s="4">
        <f>IF(H114="","",IF(H114&gt;0,L114+I114+G114,MAX(0,L114-ABS(H114)*M114)))</f>
        <v/>
      </c>
      <c r="P114" s="5">
        <f>IF(H114="","",K114+H114)</f>
        <v/>
      </c>
      <c r="Q114" s="4">
        <f>IF(P114=0,0,O114/P114)</f>
        <v/>
      </c>
      <c r="R114" s="3" t="n"/>
      <c r="S114">
        <f>IF(H114="","",IF(P114&lt;0,"ERROR: Over-sold",IF(AND(H114&lt;0,K114=0),"ERROR: Sell w/o position","")))</f>
        <v/>
      </c>
    </row>
    <row r="115">
      <c r="A115" s="3" t="n"/>
      <c r="B115" s="3" t="n"/>
      <c r="C115" s="3" t="n"/>
      <c r="D115" s="3" t="n"/>
      <c r="E115" s="3" t="n"/>
      <c r="F115" s="3" t="n"/>
      <c r="G115" s="3" t="n"/>
      <c r="H115">
        <f>IF(OR(D115="",E115=""),"",IF(D115="BUY",E115,-E115))</f>
        <v/>
      </c>
      <c r="I115" s="4">
        <f>IF(H115="","",ABS(H115)*F115)</f>
        <v/>
      </c>
      <c r="J115" s="4">
        <f>IF(H115="","",-H115*F115-G115)</f>
        <v/>
      </c>
      <c r="K115" s="5">
        <f>IF(OR(B115="",C115=""),"",SUMIFS($H$4:H114,$B$4:B114,B115,$C$4:C114,C115))</f>
        <v/>
      </c>
      <c r="L115" s="4">
        <f>IF(OR(B115="",C115=""),"",IFERROR(LOOKUP(2,1/(($B$4:B114=B115)*($C$4:C114=C115)),$O$4:O114),0))</f>
        <v/>
      </c>
      <c r="M115" s="4">
        <f>IF(K115=0,0,L115/K115)</f>
        <v/>
      </c>
      <c r="N115" s="4">
        <f>IF(H115&lt;0,ABS(H115)*(F115-M115)-G115,0)</f>
        <v/>
      </c>
      <c r="O115" s="4">
        <f>IF(H115="","",IF(H115&gt;0,L115+I115+G115,MAX(0,L115-ABS(H115)*M115)))</f>
        <v/>
      </c>
      <c r="P115" s="5">
        <f>IF(H115="","",K115+H115)</f>
        <v/>
      </c>
      <c r="Q115" s="4">
        <f>IF(P115=0,0,O115/P115)</f>
        <v/>
      </c>
      <c r="R115" s="3" t="n"/>
      <c r="S115">
        <f>IF(H115="","",IF(P115&lt;0,"ERROR: Over-sold",IF(AND(H115&lt;0,K115=0),"ERROR: Sell w/o position","")))</f>
        <v/>
      </c>
    </row>
    <row r="116">
      <c r="A116" s="3" t="n"/>
      <c r="B116" s="3" t="n"/>
      <c r="C116" s="3" t="n"/>
      <c r="D116" s="3" t="n"/>
      <c r="E116" s="3" t="n"/>
      <c r="F116" s="3" t="n"/>
      <c r="G116" s="3" t="n"/>
      <c r="H116">
        <f>IF(OR(D116="",E116=""),"",IF(D116="BUY",E116,-E116))</f>
        <v/>
      </c>
      <c r="I116" s="4">
        <f>IF(H116="","",ABS(H116)*F116)</f>
        <v/>
      </c>
      <c r="J116" s="4">
        <f>IF(H116="","",-H116*F116-G116)</f>
        <v/>
      </c>
      <c r="K116" s="5">
        <f>IF(OR(B116="",C116=""),"",SUMIFS($H$4:H115,$B$4:B115,B116,$C$4:C115,C116))</f>
        <v/>
      </c>
      <c r="L116" s="4">
        <f>IF(OR(B116="",C116=""),"",IFERROR(LOOKUP(2,1/(($B$4:B115=B116)*($C$4:C115=C116)),$O$4:O115),0))</f>
        <v/>
      </c>
      <c r="M116" s="4">
        <f>IF(K116=0,0,L116/K116)</f>
        <v/>
      </c>
      <c r="N116" s="4">
        <f>IF(H116&lt;0,ABS(H116)*(F116-M116)-G116,0)</f>
        <v/>
      </c>
      <c r="O116" s="4">
        <f>IF(H116="","",IF(H116&gt;0,L116+I116+G116,MAX(0,L116-ABS(H116)*M116)))</f>
        <v/>
      </c>
      <c r="P116" s="5">
        <f>IF(H116="","",K116+H116)</f>
        <v/>
      </c>
      <c r="Q116" s="4">
        <f>IF(P116=0,0,O116/P116)</f>
        <v/>
      </c>
      <c r="R116" s="3" t="n"/>
      <c r="S116">
        <f>IF(H116="","",IF(P116&lt;0,"ERROR: Over-sold",IF(AND(H116&lt;0,K116=0),"ERROR: Sell w/o position","")))</f>
        <v/>
      </c>
    </row>
    <row r="117">
      <c r="A117" s="3" t="n"/>
      <c r="B117" s="3" t="n"/>
      <c r="C117" s="3" t="n"/>
      <c r="D117" s="3" t="n"/>
      <c r="E117" s="3" t="n"/>
      <c r="F117" s="3" t="n"/>
      <c r="G117" s="3" t="n"/>
      <c r="H117">
        <f>IF(OR(D117="",E117=""),"",IF(D117="BUY",E117,-E117))</f>
        <v/>
      </c>
      <c r="I117" s="4">
        <f>IF(H117="","",ABS(H117)*F117)</f>
        <v/>
      </c>
      <c r="J117" s="4">
        <f>IF(H117="","",-H117*F117-G117)</f>
        <v/>
      </c>
      <c r="K117" s="5">
        <f>IF(OR(B117="",C117=""),"",SUMIFS($H$4:H116,$B$4:B116,B117,$C$4:C116,C117))</f>
        <v/>
      </c>
      <c r="L117" s="4">
        <f>IF(OR(B117="",C117=""),"",IFERROR(LOOKUP(2,1/(($B$4:B116=B117)*($C$4:C116=C117)),$O$4:O116),0))</f>
        <v/>
      </c>
      <c r="M117" s="4">
        <f>IF(K117=0,0,L117/K117)</f>
        <v/>
      </c>
      <c r="N117" s="4">
        <f>IF(H117&lt;0,ABS(H117)*(F117-M117)-G117,0)</f>
        <v/>
      </c>
      <c r="O117" s="4">
        <f>IF(H117="","",IF(H117&gt;0,L117+I117+G117,MAX(0,L117-ABS(H117)*M117)))</f>
        <v/>
      </c>
      <c r="P117" s="5">
        <f>IF(H117="","",K117+H117)</f>
        <v/>
      </c>
      <c r="Q117" s="4">
        <f>IF(P117=0,0,O117/P117)</f>
        <v/>
      </c>
      <c r="R117" s="3" t="n"/>
      <c r="S117">
        <f>IF(H117="","",IF(P117&lt;0,"ERROR: Over-sold",IF(AND(H117&lt;0,K117=0),"ERROR: Sell w/o position","")))</f>
        <v/>
      </c>
    </row>
    <row r="118">
      <c r="A118" s="3" t="n"/>
      <c r="B118" s="3" t="n"/>
      <c r="C118" s="3" t="n"/>
      <c r="D118" s="3" t="n"/>
      <c r="E118" s="3" t="n"/>
      <c r="F118" s="3" t="n"/>
      <c r="G118" s="3" t="n"/>
      <c r="H118">
        <f>IF(OR(D118="",E118=""),"",IF(D118="BUY",E118,-E118))</f>
        <v/>
      </c>
      <c r="I118" s="4">
        <f>IF(H118="","",ABS(H118)*F118)</f>
        <v/>
      </c>
      <c r="J118" s="4">
        <f>IF(H118="","",-H118*F118-G118)</f>
        <v/>
      </c>
      <c r="K118" s="5">
        <f>IF(OR(B118="",C118=""),"",SUMIFS($H$4:H117,$B$4:B117,B118,$C$4:C117,C118))</f>
        <v/>
      </c>
      <c r="L118" s="4">
        <f>IF(OR(B118="",C118=""),"",IFERROR(LOOKUP(2,1/(($B$4:B117=B118)*($C$4:C117=C118)),$O$4:O117),0))</f>
        <v/>
      </c>
      <c r="M118" s="4">
        <f>IF(K118=0,0,L118/K118)</f>
        <v/>
      </c>
      <c r="N118" s="4">
        <f>IF(H118&lt;0,ABS(H118)*(F118-M118)-G118,0)</f>
        <v/>
      </c>
      <c r="O118" s="4">
        <f>IF(H118="","",IF(H118&gt;0,L118+I118+G118,MAX(0,L118-ABS(H118)*M118)))</f>
        <v/>
      </c>
      <c r="P118" s="5">
        <f>IF(H118="","",K118+H118)</f>
        <v/>
      </c>
      <c r="Q118" s="4">
        <f>IF(P118=0,0,O118/P118)</f>
        <v/>
      </c>
      <c r="R118" s="3" t="n"/>
      <c r="S118">
        <f>IF(H118="","",IF(P118&lt;0,"ERROR: Over-sold",IF(AND(H118&lt;0,K118=0),"ERROR: Sell w/o position","")))</f>
        <v/>
      </c>
    </row>
    <row r="119">
      <c r="A119" s="3" t="n"/>
      <c r="B119" s="3" t="n"/>
      <c r="C119" s="3" t="n"/>
      <c r="D119" s="3" t="n"/>
      <c r="E119" s="3" t="n"/>
      <c r="F119" s="3" t="n"/>
      <c r="G119" s="3" t="n"/>
      <c r="H119">
        <f>IF(OR(D119="",E119=""),"",IF(D119="BUY",E119,-E119))</f>
        <v/>
      </c>
      <c r="I119" s="4">
        <f>IF(H119="","",ABS(H119)*F119)</f>
        <v/>
      </c>
      <c r="J119" s="4">
        <f>IF(H119="","",-H119*F119-G119)</f>
        <v/>
      </c>
      <c r="K119" s="5">
        <f>IF(OR(B119="",C119=""),"",SUMIFS($H$4:H118,$B$4:B118,B119,$C$4:C118,C119))</f>
        <v/>
      </c>
      <c r="L119" s="4">
        <f>IF(OR(B119="",C119=""),"",IFERROR(LOOKUP(2,1/(($B$4:B118=B119)*($C$4:C118=C119)),$O$4:O118),0))</f>
        <v/>
      </c>
      <c r="M119" s="4">
        <f>IF(K119=0,0,L119/K119)</f>
        <v/>
      </c>
      <c r="N119" s="4">
        <f>IF(H119&lt;0,ABS(H119)*(F119-M119)-G119,0)</f>
        <v/>
      </c>
      <c r="O119" s="4">
        <f>IF(H119="","",IF(H119&gt;0,L119+I119+G119,MAX(0,L119-ABS(H119)*M119)))</f>
        <v/>
      </c>
      <c r="P119" s="5">
        <f>IF(H119="","",K119+H119)</f>
        <v/>
      </c>
      <c r="Q119" s="4">
        <f>IF(P119=0,0,O119/P119)</f>
        <v/>
      </c>
      <c r="R119" s="3" t="n"/>
      <c r="S119">
        <f>IF(H119="","",IF(P119&lt;0,"ERROR: Over-sold",IF(AND(H119&lt;0,K119=0),"ERROR: Sell w/o position","")))</f>
        <v/>
      </c>
    </row>
    <row r="120">
      <c r="A120" s="3" t="n"/>
      <c r="B120" s="3" t="n"/>
      <c r="C120" s="3" t="n"/>
      <c r="D120" s="3" t="n"/>
      <c r="E120" s="3" t="n"/>
      <c r="F120" s="3" t="n"/>
      <c r="G120" s="3" t="n"/>
      <c r="H120">
        <f>IF(OR(D120="",E120=""),"",IF(D120="BUY",E120,-E120))</f>
        <v/>
      </c>
      <c r="I120" s="4">
        <f>IF(H120="","",ABS(H120)*F120)</f>
        <v/>
      </c>
      <c r="J120" s="4">
        <f>IF(H120="","",-H120*F120-G120)</f>
        <v/>
      </c>
      <c r="K120" s="5">
        <f>IF(OR(B120="",C120=""),"",SUMIFS($H$4:H119,$B$4:B119,B120,$C$4:C119,C120))</f>
        <v/>
      </c>
      <c r="L120" s="4">
        <f>IF(OR(B120="",C120=""),"",IFERROR(LOOKUP(2,1/(($B$4:B119=B120)*($C$4:C119=C120)),$O$4:O119),0))</f>
        <v/>
      </c>
      <c r="M120" s="4">
        <f>IF(K120=0,0,L120/K120)</f>
        <v/>
      </c>
      <c r="N120" s="4">
        <f>IF(H120&lt;0,ABS(H120)*(F120-M120)-G120,0)</f>
        <v/>
      </c>
      <c r="O120" s="4">
        <f>IF(H120="","",IF(H120&gt;0,L120+I120+G120,MAX(0,L120-ABS(H120)*M120)))</f>
        <v/>
      </c>
      <c r="P120" s="5">
        <f>IF(H120="","",K120+H120)</f>
        <v/>
      </c>
      <c r="Q120" s="4">
        <f>IF(P120=0,0,O120/P120)</f>
        <v/>
      </c>
      <c r="R120" s="3" t="n"/>
      <c r="S120">
        <f>IF(H120="","",IF(P120&lt;0,"ERROR: Over-sold",IF(AND(H120&lt;0,K120=0),"ERROR: Sell w/o position","")))</f>
        <v/>
      </c>
    </row>
    <row r="121">
      <c r="A121" s="3" t="n"/>
      <c r="B121" s="3" t="n"/>
      <c r="C121" s="3" t="n"/>
      <c r="D121" s="3" t="n"/>
      <c r="E121" s="3" t="n"/>
      <c r="F121" s="3" t="n"/>
      <c r="G121" s="3" t="n"/>
      <c r="H121">
        <f>IF(OR(D121="",E121=""),"",IF(D121="BUY",E121,-E121))</f>
        <v/>
      </c>
      <c r="I121" s="4">
        <f>IF(H121="","",ABS(H121)*F121)</f>
        <v/>
      </c>
      <c r="J121" s="4">
        <f>IF(H121="","",-H121*F121-G121)</f>
        <v/>
      </c>
      <c r="K121" s="5">
        <f>IF(OR(B121="",C121=""),"",SUMIFS($H$4:H120,$B$4:B120,B121,$C$4:C120,C121))</f>
        <v/>
      </c>
      <c r="L121" s="4">
        <f>IF(OR(B121="",C121=""),"",IFERROR(LOOKUP(2,1/(($B$4:B120=B121)*($C$4:C120=C121)),$O$4:O120),0))</f>
        <v/>
      </c>
      <c r="M121" s="4">
        <f>IF(K121=0,0,L121/K121)</f>
        <v/>
      </c>
      <c r="N121" s="4">
        <f>IF(H121&lt;0,ABS(H121)*(F121-M121)-G121,0)</f>
        <v/>
      </c>
      <c r="O121" s="4">
        <f>IF(H121="","",IF(H121&gt;0,L121+I121+G121,MAX(0,L121-ABS(H121)*M121)))</f>
        <v/>
      </c>
      <c r="P121" s="5">
        <f>IF(H121="","",K121+H121)</f>
        <v/>
      </c>
      <c r="Q121" s="4">
        <f>IF(P121=0,0,O121/P121)</f>
        <v/>
      </c>
      <c r="R121" s="3" t="n"/>
      <c r="S121">
        <f>IF(H121="","",IF(P121&lt;0,"ERROR: Over-sold",IF(AND(H121&lt;0,K121=0),"ERROR: Sell w/o position","")))</f>
        <v/>
      </c>
    </row>
    <row r="122">
      <c r="A122" s="3" t="n"/>
      <c r="B122" s="3" t="n"/>
      <c r="C122" s="3" t="n"/>
      <c r="D122" s="3" t="n"/>
      <c r="E122" s="3" t="n"/>
      <c r="F122" s="3" t="n"/>
      <c r="G122" s="3" t="n"/>
      <c r="H122">
        <f>IF(OR(D122="",E122=""),"",IF(D122="BUY",E122,-E122))</f>
        <v/>
      </c>
      <c r="I122" s="4">
        <f>IF(H122="","",ABS(H122)*F122)</f>
        <v/>
      </c>
      <c r="J122" s="4">
        <f>IF(H122="","",-H122*F122-G122)</f>
        <v/>
      </c>
      <c r="K122" s="5">
        <f>IF(OR(B122="",C122=""),"",SUMIFS($H$4:H121,$B$4:B121,B122,$C$4:C121,C122))</f>
        <v/>
      </c>
      <c r="L122" s="4">
        <f>IF(OR(B122="",C122=""),"",IFERROR(LOOKUP(2,1/(($B$4:B121=B122)*($C$4:C121=C122)),$O$4:O121),0))</f>
        <v/>
      </c>
      <c r="M122" s="4">
        <f>IF(K122=0,0,L122/K122)</f>
        <v/>
      </c>
      <c r="N122" s="4">
        <f>IF(H122&lt;0,ABS(H122)*(F122-M122)-G122,0)</f>
        <v/>
      </c>
      <c r="O122" s="4">
        <f>IF(H122="","",IF(H122&gt;0,L122+I122+G122,MAX(0,L122-ABS(H122)*M122)))</f>
        <v/>
      </c>
      <c r="P122" s="5">
        <f>IF(H122="","",K122+H122)</f>
        <v/>
      </c>
      <c r="Q122" s="4">
        <f>IF(P122=0,0,O122/P122)</f>
        <v/>
      </c>
      <c r="R122" s="3" t="n"/>
      <c r="S122">
        <f>IF(H122="","",IF(P122&lt;0,"ERROR: Over-sold",IF(AND(H122&lt;0,K122=0),"ERROR: Sell w/o position","")))</f>
        <v/>
      </c>
    </row>
    <row r="123">
      <c r="A123" s="3" t="n"/>
      <c r="B123" s="3" t="n"/>
      <c r="C123" s="3" t="n"/>
      <c r="D123" s="3" t="n"/>
      <c r="E123" s="3" t="n"/>
      <c r="F123" s="3" t="n"/>
      <c r="G123" s="3" t="n"/>
      <c r="H123">
        <f>IF(OR(D123="",E123=""),"",IF(D123="BUY",E123,-E123))</f>
        <v/>
      </c>
      <c r="I123" s="4">
        <f>IF(H123="","",ABS(H123)*F123)</f>
        <v/>
      </c>
      <c r="J123" s="4">
        <f>IF(H123="","",-H123*F123-G123)</f>
        <v/>
      </c>
      <c r="K123" s="5">
        <f>IF(OR(B123="",C123=""),"",SUMIFS($H$4:H122,$B$4:B122,B123,$C$4:C122,C123))</f>
        <v/>
      </c>
      <c r="L123" s="4">
        <f>IF(OR(B123="",C123=""),"",IFERROR(LOOKUP(2,1/(($B$4:B122=B123)*($C$4:C122=C123)),$O$4:O122),0))</f>
        <v/>
      </c>
      <c r="M123" s="4">
        <f>IF(K123=0,0,L123/K123)</f>
        <v/>
      </c>
      <c r="N123" s="4">
        <f>IF(H123&lt;0,ABS(H123)*(F123-M123)-G123,0)</f>
        <v/>
      </c>
      <c r="O123" s="4">
        <f>IF(H123="","",IF(H123&gt;0,L123+I123+G123,MAX(0,L123-ABS(H123)*M123)))</f>
        <v/>
      </c>
      <c r="P123" s="5">
        <f>IF(H123="","",K123+H123)</f>
        <v/>
      </c>
      <c r="Q123" s="4">
        <f>IF(P123=0,0,O123/P123)</f>
        <v/>
      </c>
      <c r="R123" s="3" t="n"/>
      <c r="S123">
        <f>IF(H123="","",IF(P123&lt;0,"ERROR: Over-sold",IF(AND(H123&lt;0,K123=0),"ERROR: Sell w/o position","")))</f>
        <v/>
      </c>
    </row>
    <row r="124">
      <c r="A124" s="3" t="n"/>
      <c r="B124" s="3" t="n"/>
      <c r="C124" s="3" t="n"/>
      <c r="D124" s="3" t="n"/>
      <c r="E124" s="3" t="n"/>
      <c r="F124" s="3" t="n"/>
      <c r="G124" s="3" t="n"/>
      <c r="H124">
        <f>IF(OR(D124="",E124=""),"",IF(D124="BUY",E124,-E124))</f>
        <v/>
      </c>
      <c r="I124" s="4">
        <f>IF(H124="","",ABS(H124)*F124)</f>
        <v/>
      </c>
      <c r="J124" s="4">
        <f>IF(H124="","",-H124*F124-G124)</f>
        <v/>
      </c>
      <c r="K124" s="5">
        <f>IF(OR(B124="",C124=""),"",SUMIFS($H$4:H123,$B$4:B123,B124,$C$4:C123,C124))</f>
        <v/>
      </c>
      <c r="L124" s="4">
        <f>IF(OR(B124="",C124=""),"",IFERROR(LOOKUP(2,1/(($B$4:B123=B124)*($C$4:C123=C124)),$O$4:O123),0))</f>
        <v/>
      </c>
      <c r="M124" s="4">
        <f>IF(K124=0,0,L124/K124)</f>
        <v/>
      </c>
      <c r="N124" s="4">
        <f>IF(H124&lt;0,ABS(H124)*(F124-M124)-G124,0)</f>
        <v/>
      </c>
      <c r="O124" s="4">
        <f>IF(H124="","",IF(H124&gt;0,L124+I124+G124,MAX(0,L124-ABS(H124)*M124)))</f>
        <v/>
      </c>
      <c r="P124" s="5">
        <f>IF(H124="","",K124+H124)</f>
        <v/>
      </c>
      <c r="Q124" s="4">
        <f>IF(P124=0,0,O124/P124)</f>
        <v/>
      </c>
      <c r="R124" s="3" t="n"/>
      <c r="S124">
        <f>IF(H124="","",IF(P124&lt;0,"ERROR: Over-sold",IF(AND(H124&lt;0,K124=0),"ERROR: Sell w/o position","")))</f>
        <v/>
      </c>
    </row>
    <row r="125">
      <c r="A125" s="3" t="n"/>
      <c r="B125" s="3" t="n"/>
      <c r="C125" s="3" t="n"/>
      <c r="D125" s="3" t="n"/>
      <c r="E125" s="3" t="n"/>
      <c r="F125" s="3" t="n"/>
      <c r="G125" s="3" t="n"/>
      <c r="H125">
        <f>IF(OR(D125="",E125=""),"",IF(D125="BUY",E125,-E125))</f>
        <v/>
      </c>
      <c r="I125" s="4">
        <f>IF(H125="","",ABS(H125)*F125)</f>
        <v/>
      </c>
      <c r="J125" s="4">
        <f>IF(H125="","",-H125*F125-G125)</f>
        <v/>
      </c>
      <c r="K125" s="5">
        <f>IF(OR(B125="",C125=""),"",SUMIFS($H$4:H124,$B$4:B124,B125,$C$4:C124,C125))</f>
        <v/>
      </c>
      <c r="L125" s="4">
        <f>IF(OR(B125="",C125=""),"",IFERROR(LOOKUP(2,1/(($B$4:B124=B125)*($C$4:C124=C125)),$O$4:O124),0))</f>
        <v/>
      </c>
      <c r="M125" s="4">
        <f>IF(K125=0,0,L125/K125)</f>
        <v/>
      </c>
      <c r="N125" s="4">
        <f>IF(H125&lt;0,ABS(H125)*(F125-M125)-G125,0)</f>
        <v/>
      </c>
      <c r="O125" s="4">
        <f>IF(H125="","",IF(H125&gt;0,L125+I125+G125,MAX(0,L125-ABS(H125)*M125)))</f>
        <v/>
      </c>
      <c r="P125" s="5">
        <f>IF(H125="","",K125+H125)</f>
        <v/>
      </c>
      <c r="Q125" s="4">
        <f>IF(P125=0,0,O125/P125)</f>
        <v/>
      </c>
      <c r="R125" s="3" t="n"/>
      <c r="S125">
        <f>IF(H125="","",IF(P125&lt;0,"ERROR: Over-sold",IF(AND(H125&lt;0,K125=0),"ERROR: Sell w/o position","")))</f>
        <v/>
      </c>
    </row>
    <row r="126">
      <c r="A126" s="3" t="n"/>
      <c r="B126" s="3" t="n"/>
      <c r="C126" s="3" t="n"/>
      <c r="D126" s="3" t="n"/>
      <c r="E126" s="3" t="n"/>
      <c r="F126" s="3" t="n"/>
      <c r="G126" s="3" t="n"/>
      <c r="H126">
        <f>IF(OR(D126="",E126=""),"",IF(D126="BUY",E126,-E126))</f>
        <v/>
      </c>
      <c r="I126" s="4">
        <f>IF(H126="","",ABS(H126)*F126)</f>
        <v/>
      </c>
      <c r="J126" s="4">
        <f>IF(H126="","",-H126*F126-G126)</f>
        <v/>
      </c>
      <c r="K126" s="5">
        <f>IF(OR(B126="",C126=""),"",SUMIFS($H$4:H125,$B$4:B125,B126,$C$4:C125,C126))</f>
        <v/>
      </c>
      <c r="L126" s="4">
        <f>IF(OR(B126="",C126=""),"",IFERROR(LOOKUP(2,1/(($B$4:B125=B126)*($C$4:C125=C126)),$O$4:O125),0))</f>
        <v/>
      </c>
      <c r="M126" s="4">
        <f>IF(K126=0,0,L126/K126)</f>
        <v/>
      </c>
      <c r="N126" s="4">
        <f>IF(H126&lt;0,ABS(H126)*(F126-M126)-G126,0)</f>
        <v/>
      </c>
      <c r="O126" s="4">
        <f>IF(H126="","",IF(H126&gt;0,L126+I126+G126,MAX(0,L126-ABS(H126)*M126)))</f>
        <v/>
      </c>
      <c r="P126" s="5">
        <f>IF(H126="","",K126+H126)</f>
        <v/>
      </c>
      <c r="Q126" s="4">
        <f>IF(P126=0,0,O126/P126)</f>
        <v/>
      </c>
      <c r="R126" s="3" t="n"/>
      <c r="S126">
        <f>IF(H126="","",IF(P126&lt;0,"ERROR: Over-sold",IF(AND(H126&lt;0,K126=0),"ERROR: Sell w/o position","")))</f>
        <v/>
      </c>
    </row>
    <row r="127">
      <c r="A127" s="3" t="n"/>
      <c r="B127" s="3" t="n"/>
      <c r="C127" s="3" t="n"/>
      <c r="D127" s="3" t="n"/>
      <c r="E127" s="3" t="n"/>
      <c r="F127" s="3" t="n"/>
      <c r="G127" s="3" t="n"/>
      <c r="H127">
        <f>IF(OR(D127="",E127=""),"",IF(D127="BUY",E127,-E127))</f>
        <v/>
      </c>
      <c r="I127" s="4">
        <f>IF(H127="","",ABS(H127)*F127)</f>
        <v/>
      </c>
      <c r="J127" s="4">
        <f>IF(H127="","",-H127*F127-G127)</f>
        <v/>
      </c>
      <c r="K127" s="5">
        <f>IF(OR(B127="",C127=""),"",SUMIFS($H$4:H126,$B$4:B126,B127,$C$4:C126,C127))</f>
        <v/>
      </c>
      <c r="L127" s="4">
        <f>IF(OR(B127="",C127=""),"",IFERROR(LOOKUP(2,1/(($B$4:B126=B127)*($C$4:C126=C127)),$O$4:O126),0))</f>
        <v/>
      </c>
      <c r="M127" s="4">
        <f>IF(K127=0,0,L127/K127)</f>
        <v/>
      </c>
      <c r="N127" s="4">
        <f>IF(H127&lt;0,ABS(H127)*(F127-M127)-G127,0)</f>
        <v/>
      </c>
      <c r="O127" s="4">
        <f>IF(H127="","",IF(H127&gt;0,L127+I127+G127,MAX(0,L127-ABS(H127)*M127)))</f>
        <v/>
      </c>
      <c r="P127" s="5">
        <f>IF(H127="","",K127+H127)</f>
        <v/>
      </c>
      <c r="Q127" s="4">
        <f>IF(P127=0,0,O127/P127)</f>
        <v/>
      </c>
      <c r="R127" s="3" t="n"/>
      <c r="S127">
        <f>IF(H127="","",IF(P127&lt;0,"ERROR: Over-sold",IF(AND(H127&lt;0,K127=0),"ERROR: Sell w/o position","")))</f>
        <v/>
      </c>
    </row>
    <row r="128">
      <c r="A128" s="3" t="n"/>
      <c r="B128" s="3" t="n"/>
      <c r="C128" s="3" t="n"/>
      <c r="D128" s="3" t="n"/>
      <c r="E128" s="3" t="n"/>
      <c r="F128" s="3" t="n"/>
      <c r="G128" s="3" t="n"/>
      <c r="H128">
        <f>IF(OR(D128="",E128=""),"",IF(D128="BUY",E128,-E128))</f>
        <v/>
      </c>
      <c r="I128" s="4">
        <f>IF(H128="","",ABS(H128)*F128)</f>
        <v/>
      </c>
      <c r="J128" s="4">
        <f>IF(H128="","",-H128*F128-G128)</f>
        <v/>
      </c>
      <c r="K128" s="5">
        <f>IF(OR(B128="",C128=""),"",SUMIFS($H$4:H127,$B$4:B127,B128,$C$4:C127,C128))</f>
        <v/>
      </c>
      <c r="L128" s="4">
        <f>IF(OR(B128="",C128=""),"",IFERROR(LOOKUP(2,1/(($B$4:B127=B128)*($C$4:C127=C128)),$O$4:O127),0))</f>
        <v/>
      </c>
      <c r="M128" s="4">
        <f>IF(K128=0,0,L128/K128)</f>
        <v/>
      </c>
      <c r="N128" s="4">
        <f>IF(H128&lt;0,ABS(H128)*(F128-M128)-G128,0)</f>
        <v/>
      </c>
      <c r="O128" s="4">
        <f>IF(H128="","",IF(H128&gt;0,L128+I128+G128,MAX(0,L128-ABS(H128)*M128)))</f>
        <v/>
      </c>
      <c r="P128" s="5">
        <f>IF(H128="","",K128+H128)</f>
        <v/>
      </c>
      <c r="Q128" s="4">
        <f>IF(P128=0,0,O128/P128)</f>
        <v/>
      </c>
      <c r="R128" s="3" t="n"/>
      <c r="S128">
        <f>IF(H128="","",IF(P128&lt;0,"ERROR: Over-sold",IF(AND(H128&lt;0,K128=0),"ERROR: Sell w/o position","")))</f>
        <v/>
      </c>
    </row>
    <row r="129">
      <c r="A129" s="3" t="n"/>
      <c r="B129" s="3" t="n"/>
      <c r="C129" s="3" t="n"/>
      <c r="D129" s="3" t="n"/>
      <c r="E129" s="3" t="n"/>
      <c r="F129" s="3" t="n"/>
      <c r="G129" s="3" t="n"/>
      <c r="H129">
        <f>IF(OR(D129="",E129=""),"",IF(D129="BUY",E129,-E129))</f>
        <v/>
      </c>
      <c r="I129" s="4">
        <f>IF(H129="","",ABS(H129)*F129)</f>
        <v/>
      </c>
      <c r="J129" s="4">
        <f>IF(H129="","",-H129*F129-G129)</f>
        <v/>
      </c>
      <c r="K129" s="5">
        <f>IF(OR(B129="",C129=""),"",SUMIFS($H$4:H128,$B$4:B128,B129,$C$4:C128,C129))</f>
        <v/>
      </c>
      <c r="L129" s="4">
        <f>IF(OR(B129="",C129=""),"",IFERROR(LOOKUP(2,1/(($B$4:B128=B129)*($C$4:C128=C129)),$O$4:O128),0))</f>
        <v/>
      </c>
      <c r="M129" s="4">
        <f>IF(K129=0,0,L129/K129)</f>
        <v/>
      </c>
      <c r="N129" s="4">
        <f>IF(H129&lt;0,ABS(H129)*(F129-M129)-G129,0)</f>
        <v/>
      </c>
      <c r="O129" s="4">
        <f>IF(H129="","",IF(H129&gt;0,L129+I129+G129,MAX(0,L129-ABS(H129)*M129)))</f>
        <v/>
      </c>
      <c r="P129" s="5">
        <f>IF(H129="","",K129+H129)</f>
        <v/>
      </c>
      <c r="Q129" s="4">
        <f>IF(P129=0,0,O129/P129)</f>
        <v/>
      </c>
      <c r="R129" s="3" t="n"/>
      <c r="S129">
        <f>IF(H129="","",IF(P129&lt;0,"ERROR: Over-sold",IF(AND(H129&lt;0,K129=0),"ERROR: Sell w/o position","")))</f>
        <v/>
      </c>
    </row>
    <row r="130">
      <c r="A130" s="3" t="n"/>
      <c r="B130" s="3" t="n"/>
      <c r="C130" s="3" t="n"/>
      <c r="D130" s="3" t="n"/>
      <c r="E130" s="3" t="n"/>
      <c r="F130" s="3" t="n"/>
      <c r="G130" s="3" t="n"/>
      <c r="H130">
        <f>IF(OR(D130="",E130=""),"",IF(D130="BUY",E130,-E130))</f>
        <v/>
      </c>
      <c r="I130" s="4">
        <f>IF(H130="","",ABS(H130)*F130)</f>
        <v/>
      </c>
      <c r="J130" s="4">
        <f>IF(H130="","",-H130*F130-G130)</f>
        <v/>
      </c>
      <c r="K130" s="5">
        <f>IF(OR(B130="",C130=""),"",SUMIFS($H$4:H129,$B$4:B129,B130,$C$4:C129,C130))</f>
        <v/>
      </c>
      <c r="L130" s="4">
        <f>IF(OR(B130="",C130=""),"",IFERROR(LOOKUP(2,1/(($B$4:B129=B130)*($C$4:C129=C130)),$O$4:O129),0))</f>
        <v/>
      </c>
      <c r="M130" s="4">
        <f>IF(K130=0,0,L130/K130)</f>
        <v/>
      </c>
      <c r="N130" s="4">
        <f>IF(H130&lt;0,ABS(H130)*(F130-M130)-G130,0)</f>
        <v/>
      </c>
      <c r="O130" s="4">
        <f>IF(H130="","",IF(H130&gt;0,L130+I130+G130,MAX(0,L130-ABS(H130)*M130)))</f>
        <v/>
      </c>
      <c r="P130" s="5">
        <f>IF(H130="","",K130+H130)</f>
        <v/>
      </c>
      <c r="Q130" s="4">
        <f>IF(P130=0,0,O130/P130)</f>
        <v/>
      </c>
      <c r="R130" s="3" t="n"/>
      <c r="S130">
        <f>IF(H130="","",IF(P130&lt;0,"ERROR: Over-sold",IF(AND(H130&lt;0,K130=0),"ERROR: Sell w/o position","")))</f>
        <v/>
      </c>
    </row>
    <row r="131">
      <c r="A131" s="3" t="n"/>
      <c r="B131" s="3" t="n"/>
      <c r="C131" s="3" t="n"/>
      <c r="D131" s="3" t="n"/>
      <c r="E131" s="3" t="n"/>
      <c r="F131" s="3" t="n"/>
      <c r="G131" s="3" t="n"/>
      <c r="H131">
        <f>IF(OR(D131="",E131=""),"",IF(D131="BUY",E131,-E131))</f>
        <v/>
      </c>
      <c r="I131" s="4">
        <f>IF(H131="","",ABS(H131)*F131)</f>
        <v/>
      </c>
      <c r="J131" s="4">
        <f>IF(H131="","",-H131*F131-G131)</f>
        <v/>
      </c>
      <c r="K131" s="5">
        <f>IF(OR(B131="",C131=""),"",SUMIFS($H$4:H130,$B$4:B130,B131,$C$4:C130,C131))</f>
        <v/>
      </c>
      <c r="L131" s="4">
        <f>IF(OR(B131="",C131=""),"",IFERROR(LOOKUP(2,1/(($B$4:B130=B131)*($C$4:C130=C131)),$O$4:O130),0))</f>
        <v/>
      </c>
      <c r="M131" s="4">
        <f>IF(K131=0,0,L131/K131)</f>
        <v/>
      </c>
      <c r="N131" s="4">
        <f>IF(H131&lt;0,ABS(H131)*(F131-M131)-G131,0)</f>
        <v/>
      </c>
      <c r="O131" s="4">
        <f>IF(H131="","",IF(H131&gt;0,L131+I131+G131,MAX(0,L131-ABS(H131)*M131)))</f>
        <v/>
      </c>
      <c r="P131" s="5">
        <f>IF(H131="","",K131+H131)</f>
        <v/>
      </c>
      <c r="Q131" s="4">
        <f>IF(P131=0,0,O131/P131)</f>
        <v/>
      </c>
      <c r="R131" s="3" t="n"/>
      <c r="S131">
        <f>IF(H131="","",IF(P131&lt;0,"ERROR: Over-sold",IF(AND(H131&lt;0,K131=0),"ERROR: Sell w/o position","")))</f>
        <v/>
      </c>
    </row>
    <row r="132">
      <c r="A132" s="3" t="n"/>
      <c r="B132" s="3" t="n"/>
      <c r="C132" s="3" t="n"/>
      <c r="D132" s="3" t="n"/>
      <c r="E132" s="3" t="n"/>
      <c r="F132" s="3" t="n"/>
      <c r="G132" s="3" t="n"/>
      <c r="H132">
        <f>IF(OR(D132="",E132=""),"",IF(D132="BUY",E132,-E132))</f>
        <v/>
      </c>
      <c r="I132" s="4">
        <f>IF(H132="","",ABS(H132)*F132)</f>
        <v/>
      </c>
      <c r="J132" s="4">
        <f>IF(H132="","",-H132*F132-G132)</f>
        <v/>
      </c>
      <c r="K132" s="5">
        <f>IF(OR(B132="",C132=""),"",SUMIFS($H$4:H131,$B$4:B131,B132,$C$4:C131,C132))</f>
        <v/>
      </c>
      <c r="L132" s="4">
        <f>IF(OR(B132="",C132=""),"",IFERROR(LOOKUP(2,1/(($B$4:B131=B132)*($C$4:C131=C132)),$O$4:O131),0))</f>
        <v/>
      </c>
      <c r="M132" s="4">
        <f>IF(K132=0,0,L132/K132)</f>
        <v/>
      </c>
      <c r="N132" s="4">
        <f>IF(H132&lt;0,ABS(H132)*(F132-M132)-G132,0)</f>
        <v/>
      </c>
      <c r="O132" s="4">
        <f>IF(H132="","",IF(H132&gt;0,L132+I132+G132,MAX(0,L132-ABS(H132)*M132)))</f>
        <v/>
      </c>
      <c r="P132" s="5">
        <f>IF(H132="","",K132+H132)</f>
        <v/>
      </c>
      <c r="Q132" s="4">
        <f>IF(P132=0,0,O132/P132)</f>
        <v/>
      </c>
      <c r="R132" s="3" t="n"/>
      <c r="S132">
        <f>IF(H132="","",IF(P132&lt;0,"ERROR: Over-sold",IF(AND(H132&lt;0,K132=0),"ERROR: Sell w/o position","")))</f>
        <v/>
      </c>
    </row>
    <row r="133">
      <c r="A133" s="3" t="n"/>
      <c r="B133" s="3" t="n"/>
      <c r="C133" s="3" t="n"/>
      <c r="D133" s="3" t="n"/>
      <c r="E133" s="3" t="n"/>
      <c r="F133" s="3" t="n"/>
      <c r="G133" s="3" t="n"/>
      <c r="H133">
        <f>IF(OR(D133="",E133=""),"",IF(D133="BUY",E133,-E133))</f>
        <v/>
      </c>
      <c r="I133" s="4">
        <f>IF(H133="","",ABS(H133)*F133)</f>
        <v/>
      </c>
      <c r="J133" s="4">
        <f>IF(H133="","",-H133*F133-G133)</f>
        <v/>
      </c>
      <c r="K133" s="5">
        <f>IF(OR(B133="",C133=""),"",SUMIFS($H$4:H132,$B$4:B132,B133,$C$4:C132,C133))</f>
        <v/>
      </c>
      <c r="L133" s="4">
        <f>IF(OR(B133="",C133=""),"",IFERROR(LOOKUP(2,1/(($B$4:B132=B133)*($C$4:C132=C133)),$O$4:O132),0))</f>
        <v/>
      </c>
      <c r="M133" s="4">
        <f>IF(K133=0,0,L133/K133)</f>
        <v/>
      </c>
      <c r="N133" s="4">
        <f>IF(H133&lt;0,ABS(H133)*(F133-M133)-G133,0)</f>
        <v/>
      </c>
      <c r="O133" s="4">
        <f>IF(H133="","",IF(H133&gt;0,L133+I133+G133,MAX(0,L133-ABS(H133)*M133)))</f>
        <v/>
      </c>
      <c r="P133" s="5">
        <f>IF(H133="","",K133+H133)</f>
        <v/>
      </c>
      <c r="Q133" s="4">
        <f>IF(P133=0,0,O133/P133)</f>
        <v/>
      </c>
      <c r="R133" s="3" t="n"/>
      <c r="S133">
        <f>IF(H133="","",IF(P133&lt;0,"ERROR: Over-sold",IF(AND(H133&lt;0,K133=0),"ERROR: Sell w/o position","")))</f>
        <v/>
      </c>
    </row>
    <row r="134">
      <c r="A134" s="3" t="n"/>
      <c r="B134" s="3" t="n"/>
      <c r="C134" s="3" t="n"/>
      <c r="D134" s="3" t="n"/>
      <c r="E134" s="3" t="n"/>
      <c r="F134" s="3" t="n"/>
      <c r="G134" s="3" t="n"/>
      <c r="H134">
        <f>IF(OR(D134="",E134=""),"",IF(D134="BUY",E134,-E134))</f>
        <v/>
      </c>
      <c r="I134" s="4">
        <f>IF(H134="","",ABS(H134)*F134)</f>
        <v/>
      </c>
      <c r="J134" s="4">
        <f>IF(H134="","",-H134*F134-G134)</f>
        <v/>
      </c>
      <c r="K134" s="5">
        <f>IF(OR(B134="",C134=""),"",SUMIFS($H$4:H133,$B$4:B133,B134,$C$4:C133,C134))</f>
        <v/>
      </c>
      <c r="L134" s="4">
        <f>IF(OR(B134="",C134=""),"",IFERROR(LOOKUP(2,1/(($B$4:B133=B134)*($C$4:C133=C134)),$O$4:O133),0))</f>
        <v/>
      </c>
      <c r="M134" s="4">
        <f>IF(K134=0,0,L134/K134)</f>
        <v/>
      </c>
      <c r="N134" s="4">
        <f>IF(H134&lt;0,ABS(H134)*(F134-M134)-G134,0)</f>
        <v/>
      </c>
      <c r="O134" s="4">
        <f>IF(H134="","",IF(H134&gt;0,L134+I134+G134,MAX(0,L134-ABS(H134)*M134)))</f>
        <v/>
      </c>
      <c r="P134" s="5">
        <f>IF(H134="","",K134+H134)</f>
        <v/>
      </c>
      <c r="Q134" s="4">
        <f>IF(P134=0,0,O134/P134)</f>
        <v/>
      </c>
      <c r="R134" s="3" t="n"/>
      <c r="S134">
        <f>IF(H134="","",IF(P134&lt;0,"ERROR: Over-sold",IF(AND(H134&lt;0,K134=0),"ERROR: Sell w/o position","")))</f>
        <v/>
      </c>
    </row>
    <row r="135">
      <c r="A135" s="3" t="n"/>
      <c r="B135" s="3" t="n"/>
      <c r="C135" s="3" t="n"/>
      <c r="D135" s="3" t="n"/>
      <c r="E135" s="3" t="n"/>
      <c r="F135" s="3" t="n"/>
      <c r="G135" s="3" t="n"/>
      <c r="H135">
        <f>IF(OR(D135="",E135=""),"",IF(D135="BUY",E135,-E135))</f>
        <v/>
      </c>
      <c r="I135" s="4">
        <f>IF(H135="","",ABS(H135)*F135)</f>
        <v/>
      </c>
      <c r="J135" s="4">
        <f>IF(H135="","",-H135*F135-G135)</f>
        <v/>
      </c>
      <c r="K135" s="5">
        <f>IF(OR(B135="",C135=""),"",SUMIFS($H$4:H134,$B$4:B134,B135,$C$4:C134,C135))</f>
        <v/>
      </c>
      <c r="L135" s="4">
        <f>IF(OR(B135="",C135=""),"",IFERROR(LOOKUP(2,1/(($B$4:B134=B135)*($C$4:C134=C135)),$O$4:O134),0))</f>
        <v/>
      </c>
      <c r="M135" s="4">
        <f>IF(K135=0,0,L135/K135)</f>
        <v/>
      </c>
      <c r="N135" s="4">
        <f>IF(H135&lt;0,ABS(H135)*(F135-M135)-G135,0)</f>
        <v/>
      </c>
      <c r="O135" s="4">
        <f>IF(H135="","",IF(H135&gt;0,L135+I135+G135,MAX(0,L135-ABS(H135)*M135)))</f>
        <v/>
      </c>
      <c r="P135" s="5">
        <f>IF(H135="","",K135+H135)</f>
        <v/>
      </c>
      <c r="Q135" s="4">
        <f>IF(P135=0,0,O135/P135)</f>
        <v/>
      </c>
      <c r="R135" s="3" t="n"/>
      <c r="S135">
        <f>IF(H135="","",IF(P135&lt;0,"ERROR: Over-sold",IF(AND(H135&lt;0,K135=0),"ERROR: Sell w/o position","")))</f>
        <v/>
      </c>
    </row>
    <row r="136">
      <c r="A136" s="3" t="n"/>
      <c r="B136" s="3" t="n"/>
      <c r="C136" s="3" t="n"/>
      <c r="D136" s="3" t="n"/>
      <c r="E136" s="3" t="n"/>
      <c r="F136" s="3" t="n"/>
      <c r="G136" s="3" t="n"/>
      <c r="H136">
        <f>IF(OR(D136="",E136=""),"",IF(D136="BUY",E136,-E136))</f>
        <v/>
      </c>
      <c r="I136" s="4">
        <f>IF(H136="","",ABS(H136)*F136)</f>
        <v/>
      </c>
      <c r="J136" s="4">
        <f>IF(H136="","",-H136*F136-G136)</f>
        <v/>
      </c>
      <c r="K136" s="5">
        <f>IF(OR(B136="",C136=""),"",SUMIFS($H$4:H135,$B$4:B135,B136,$C$4:C135,C136))</f>
        <v/>
      </c>
      <c r="L136" s="4">
        <f>IF(OR(B136="",C136=""),"",IFERROR(LOOKUP(2,1/(($B$4:B135=B136)*($C$4:C135=C136)),$O$4:O135),0))</f>
        <v/>
      </c>
      <c r="M136" s="4">
        <f>IF(K136=0,0,L136/K136)</f>
        <v/>
      </c>
      <c r="N136" s="4">
        <f>IF(H136&lt;0,ABS(H136)*(F136-M136)-G136,0)</f>
        <v/>
      </c>
      <c r="O136" s="4">
        <f>IF(H136="","",IF(H136&gt;0,L136+I136+G136,MAX(0,L136-ABS(H136)*M136)))</f>
        <v/>
      </c>
      <c r="P136" s="5">
        <f>IF(H136="","",K136+H136)</f>
        <v/>
      </c>
      <c r="Q136" s="4">
        <f>IF(P136=0,0,O136/P136)</f>
        <v/>
      </c>
      <c r="R136" s="3" t="n"/>
      <c r="S136">
        <f>IF(H136="","",IF(P136&lt;0,"ERROR: Over-sold",IF(AND(H136&lt;0,K136=0),"ERROR: Sell w/o position","")))</f>
        <v/>
      </c>
    </row>
    <row r="137">
      <c r="A137" s="3" t="n"/>
      <c r="B137" s="3" t="n"/>
      <c r="C137" s="3" t="n"/>
      <c r="D137" s="3" t="n"/>
      <c r="E137" s="3" t="n"/>
      <c r="F137" s="3" t="n"/>
      <c r="G137" s="3" t="n"/>
      <c r="H137">
        <f>IF(OR(D137="",E137=""),"",IF(D137="BUY",E137,-E137))</f>
        <v/>
      </c>
      <c r="I137" s="4">
        <f>IF(H137="","",ABS(H137)*F137)</f>
        <v/>
      </c>
      <c r="J137" s="4">
        <f>IF(H137="","",-H137*F137-G137)</f>
        <v/>
      </c>
      <c r="K137" s="5">
        <f>IF(OR(B137="",C137=""),"",SUMIFS($H$4:H136,$B$4:B136,B137,$C$4:C136,C137))</f>
        <v/>
      </c>
      <c r="L137" s="4">
        <f>IF(OR(B137="",C137=""),"",IFERROR(LOOKUP(2,1/(($B$4:B136=B137)*($C$4:C136=C137)),$O$4:O136),0))</f>
        <v/>
      </c>
      <c r="M137" s="4">
        <f>IF(K137=0,0,L137/K137)</f>
        <v/>
      </c>
      <c r="N137" s="4">
        <f>IF(H137&lt;0,ABS(H137)*(F137-M137)-G137,0)</f>
        <v/>
      </c>
      <c r="O137" s="4">
        <f>IF(H137="","",IF(H137&gt;0,L137+I137+G137,MAX(0,L137-ABS(H137)*M137)))</f>
        <v/>
      </c>
      <c r="P137" s="5">
        <f>IF(H137="","",K137+H137)</f>
        <v/>
      </c>
      <c r="Q137" s="4">
        <f>IF(P137=0,0,O137/P137)</f>
        <v/>
      </c>
      <c r="R137" s="3" t="n"/>
      <c r="S137">
        <f>IF(H137="","",IF(P137&lt;0,"ERROR: Over-sold",IF(AND(H137&lt;0,K137=0),"ERROR: Sell w/o position","")))</f>
        <v/>
      </c>
    </row>
    <row r="138">
      <c r="A138" s="3" t="n"/>
      <c r="B138" s="3" t="n"/>
      <c r="C138" s="3" t="n"/>
      <c r="D138" s="3" t="n"/>
      <c r="E138" s="3" t="n"/>
      <c r="F138" s="3" t="n"/>
      <c r="G138" s="3" t="n"/>
      <c r="H138">
        <f>IF(OR(D138="",E138=""),"",IF(D138="BUY",E138,-E138))</f>
        <v/>
      </c>
      <c r="I138" s="4">
        <f>IF(H138="","",ABS(H138)*F138)</f>
        <v/>
      </c>
      <c r="J138" s="4">
        <f>IF(H138="","",-H138*F138-G138)</f>
        <v/>
      </c>
      <c r="K138" s="5">
        <f>IF(OR(B138="",C138=""),"",SUMIFS($H$4:H137,$B$4:B137,B138,$C$4:C137,C138))</f>
        <v/>
      </c>
      <c r="L138" s="4">
        <f>IF(OR(B138="",C138=""),"",IFERROR(LOOKUP(2,1/(($B$4:B137=B138)*($C$4:C137=C138)),$O$4:O137),0))</f>
        <v/>
      </c>
      <c r="M138" s="4">
        <f>IF(K138=0,0,L138/K138)</f>
        <v/>
      </c>
      <c r="N138" s="4">
        <f>IF(H138&lt;0,ABS(H138)*(F138-M138)-G138,0)</f>
        <v/>
      </c>
      <c r="O138" s="4">
        <f>IF(H138="","",IF(H138&gt;0,L138+I138+G138,MAX(0,L138-ABS(H138)*M138)))</f>
        <v/>
      </c>
      <c r="P138" s="5">
        <f>IF(H138="","",K138+H138)</f>
        <v/>
      </c>
      <c r="Q138" s="4">
        <f>IF(P138=0,0,O138/P138)</f>
        <v/>
      </c>
      <c r="R138" s="3" t="n"/>
      <c r="S138">
        <f>IF(H138="","",IF(P138&lt;0,"ERROR: Over-sold",IF(AND(H138&lt;0,K138=0),"ERROR: Sell w/o position","")))</f>
        <v/>
      </c>
    </row>
    <row r="139">
      <c r="A139" s="3" t="n"/>
      <c r="B139" s="3" t="n"/>
      <c r="C139" s="3" t="n"/>
      <c r="D139" s="3" t="n"/>
      <c r="E139" s="3" t="n"/>
      <c r="F139" s="3" t="n"/>
      <c r="G139" s="3" t="n"/>
      <c r="H139">
        <f>IF(OR(D139="",E139=""),"",IF(D139="BUY",E139,-E139))</f>
        <v/>
      </c>
      <c r="I139" s="4">
        <f>IF(H139="","",ABS(H139)*F139)</f>
        <v/>
      </c>
      <c r="J139" s="4">
        <f>IF(H139="","",-H139*F139-G139)</f>
        <v/>
      </c>
      <c r="K139" s="5">
        <f>IF(OR(B139="",C139=""),"",SUMIFS($H$4:H138,$B$4:B138,B139,$C$4:C138,C139))</f>
        <v/>
      </c>
      <c r="L139" s="4">
        <f>IF(OR(B139="",C139=""),"",IFERROR(LOOKUP(2,1/(($B$4:B138=B139)*($C$4:C138=C139)),$O$4:O138),0))</f>
        <v/>
      </c>
      <c r="M139" s="4">
        <f>IF(K139=0,0,L139/K139)</f>
        <v/>
      </c>
      <c r="N139" s="4">
        <f>IF(H139&lt;0,ABS(H139)*(F139-M139)-G139,0)</f>
        <v/>
      </c>
      <c r="O139" s="4">
        <f>IF(H139="","",IF(H139&gt;0,L139+I139+G139,MAX(0,L139-ABS(H139)*M139)))</f>
        <v/>
      </c>
      <c r="P139" s="5">
        <f>IF(H139="","",K139+H139)</f>
        <v/>
      </c>
      <c r="Q139" s="4">
        <f>IF(P139=0,0,O139/P139)</f>
        <v/>
      </c>
      <c r="R139" s="3" t="n"/>
      <c r="S139">
        <f>IF(H139="","",IF(P139&lt;0,"ERROR: Over-sold",IF(AND(H139&lt;0,K139=0),"ERROR: Sell w/o position","")))</f>
        <v/>
      </c>
    </row>
    <row r="140">
      <c r="A140" s="3" t="n"/>
      <c r="B140" s="3" t="n"/>
      <c r="C140" s="3" t="n"/>
      <c r="D140" s="3" t="n"/>
      <c r="E140" s="3" t="n"/>
      <c r="F140" s="3" t="n"/>
      <c r="G140" s="3" t="n"/>
      <c r="H140">
        <f>IF(OR(D140="",E140=""),"",IF(D140="BUY",E140,-E140))</f>
        <v/>
      </c>
      <c r="I140" s="4">
        <f>IF(H140="","",ABS(H140)*F140)</f>
        <v/>
      </c>
      <c r="J140" s="4">
        <f>IF(H140="","",-H140*F140-G140)</f>
        <v/>
      </c>
      <c r="K140" s="5">
        <f>IF(OR(B140="",C140=""),"",SUMIFS($H$4:H139,$B$4:B139,B140,$C$4:C139,C140))</f>
        <v/>
      </c>
      <c r="L140" s="4">
        <f>IF(OR(B140="",C140=""),"",IFERROR(LOOKUP(2,1/(($B$4:B139=B140)*($C$4:C139=C140)),$O$4:O139),0))</f>
        <v/>
      </c>
      <c r="M140" s="4">
        <f>IF(K140=0,0,L140/K140)</f>
        <v/>
      </c>
      <c r="N140" s="4">
        <f>IF(H140&lt;0,ABS(H140)*(F140-M140)-G140,0)</f>
        <v/>
      </c>
      <c r="O140" s="4">
        <f>IF(H140="","",IF(H140&gt;0,L140+I140+G140,MAX(0,L140-ABS(H140)*M140)))</f>
        <v/>
      </c>
      <c r="P140" s="5">
        <f>IF(H140="","",K140+H140)</f>
        <v/>
      </c>
      <c r="Q140" s="4">
        <f>IF(P140=0,0,O140/P140)</f>
        <v/>
      </c>
      <c r="R140" s="3" t="n"/>
      <c r="S140">
        <f>IF(H140="","",IF(P140&lt;0,"ERROR: Over-sold",IF(AND(H140&lt;0,K140=0),"ERROR: Sell w/o position","")))</f>
        <v/>
      </c>
    </row>
    <row r="141">
      <c r="A141" s="3" t="n"/>
      <c r="B141" s="3" t="n"/>
      <c r="C141" s="3" t="n"/>
      <c r="D141" s="3" t="n"/>
      <c r="E141" s="3" t="n"/>
      <c r="F141" s="3" t="n"/>
      <c r="G141" s="3" t="n"/>
      <c r="H141">
        <f>IF(OR(D141="",E141=""),"",IF(D141="BUY",E141,-E141))</f>
        <v/>
      </c>
      <c r="I141" s="4">
        <f>IF(H141="","",ABS(H141)*F141)</f>
        <v/>
      </c>
      <c r="J141" s="4">
        <f>IF(H141="","",-H141*F141-G141)</f>
        <v/>
      </c>
      <c r="K141" s="5">
        <f>IF(OR(B141="",C141=""),"",SUMIFS($H$4:H140,$B$4:B140,B141,$C$4:C140,C141))</f>
        <v/>
      </c>
      <c r="L141" s="4">
        <f>IF(OR(B141="",C141=""),"",IFERROR(LOOKUP(2,1/(($B$4:B140=B141)*($C$4:C140=C141)),$O$4:O140),0))</f>
        <v/>
      </c>
      <c r="M141" s="4">
        <f>IF(K141=0,0,L141/K141)</f>
        <v/>
      </c>
      <c r="N141" s="4">
        <f>IF(H141&lt;0,ABS(H141)*(F141-M141)-G141,0)</f>
        <v/>
      </c>
      <c r="O141" s="4">
        <f>IF(H141="","",IF(H141&gt;0,L141+I141+G141,MAX(0,L141-ABS(H141)*M141)))</f>
        <v/>
      </c>
      <c r="P141" s="5">
        <f>IF(H141="","",K141+H141)</f>
        <v/>
      </c>
      <c r="Q141" s="4">
        <f>IF(P141=0,0,O141/P141)</f>
        <v/>
      </c>
      <c r="R141" s="3" t="n"/>
      <c r="S141">
        <f>IF(H141="","",IF(P141&lt;0,"ERROR: Over-sold",IF(AND(H141&lt;0,K141=0),"ERROR: Sell w/o position","")))</f>
        <v/>
      </c>
    </row>
    <row r="142">
      <c r="A142" s="3" t="n"/>
      <c r="B142" s="3" t="n"/>
      <c r="C142" s="3" t="n"/>
      <c r="D142" s="3" t="n"/>
      <c r="E142" s="3" t="n"/>
      <c r="F142" s="3" t="n"/>
      <c r="G142" s="3" t="n"/>
      <c r="H142">
        <f>IF(OR(D142="",E142=""),"",IF(D142="BUY",E142,-E142))</f>
        <v/>
      </c>
      <c r="I142" s="4">
        <f>IF(H142="","",ABS(H142)*F142)</f>
        <v/>
      </c>
      <c r="J142" s="4">
        <f>IF(H142="","",-H142*F142-G142)</f>
        <v/>
      </c>
      <c r="K142" s="5">
        <f>IF(OR(B142="",C142=""),"",SUMIFS($H$4:H141,$B$4:B141,B142,$C$4:C141,C142))</f>
        <v/>
      </c>
      <c r="L142" s="4">
        <f>IF(OR(B142="",C142=""),"",IFERROR(LOOKUP(2,1/(($B$4:B141=B142)*($C$4:C141=C142)),$O$4:O141),0))</f>
        <v/>
      </c>
      <c r="M142" s="4">
        <f>IF(K142=0,0,L142/K142)</f>
        <v/>
      </c>
      <c r="N142" s="4">
        <f>IF(H142&lt;0,ABS(H142)*(F142-M142)-G142,0)</f>
        <v/>
      </c>
      <c r="O142" s="4">
        <f>IF(H142="","",IF(H142&gt;0,L142+I142+G142,MAX(0,L142-ABS(H142)*M142)))</f>
        <v/>
      </c>
      <c r="P142" s="5">
        <f>IF(H142="","",K142+H142)</f>
        <v/>
      </c>
      <c r="Q142" s="4">
        <f>IF(P142=0,0,O142/P142)</f>
        <v/>
      </c>
      <c r="R142" s="3" t="n"/>
      <c r="S142">
        <f>IF(H142="","",IF(P142&lt;0,"ERROR: Over-sold",IF(AND(H142&lt;0,K142=0),"ERROR: Sell w/o position","")))</f>
        <v/>
      </c>
    </row>
    <row r="143">
      <c r="A143" s="3" t="n"/>
      <c r="B143" s="3" t="n"/>
      <c r="C143" s="3" t="n"/>
      <c r="D143" s="3" t="n"/>
      <c r="E143" s="3" t="n"/>
      <c r="F143" s="3" t="n"/>
      <c r="G143" s="3" t="n"/>
      <c r="H143">
        <f>IF(OR(D143="",E143=""),"",IF(D143="BUY",E143,-E143))</f>
        <v/>
      </c>
      <c r="I143" s="4">
        <f>IF(H143="","",ABS(H143)*F143)</f>
        <v/>
      </c>
      <c r="J143" s="4">
        <f>IF(H143="","",-H143*F143-G143)</f>
        <v/>
      </c>
      <c r="K143" s="5">
        <f>IF(OR(B143="",C143=""),"",SUMIFS($H$4:H142,$B$4:B142,B143,$C$4:C142,C143))</f>
        <v/>
      </c>
      <c r="L143" s="4">
        <f>IF(OR(B143="",C143=""),"",IFERROR(LOOKUP(2,1/(($B$4:B142=B143)*($C$4:C142=C143)),$O$4:O142),0))</f>
        <v/>
      </c>
      <c r="M143" s="4">
        <f>IF(K143=0,0,L143/K143)</f>
        <v/>
      </c>
      <c r="N143" s="4">
        <f>IF(H143&lt;0,ABS(H143)*(F143-M143)-G143,0)</f>
        <v/>
      </c>
      <c r="O143" s="4">
        <f>IF(H143="","",IF(H143&gt;0,L143+I143+G143,MAX(0,L143-ABS(H143)*M143)))</f>
        <v/>
      </c>
      <c r="P143" s="5">
        <f>IF(H143="","",K143+H143)</f>
        <v/>
      </c>
      <c r="Q143" s="4">
        <f>IF(P143=0,0,O143/P143)</f>
        <v/>
      </c>
      <c r="R143" s="3" t="n"/>
      <c r="S143">
        <f>IF(H143="","",IF(P143&lt;0,"ERROR: Over-sold",IF(AND(H143&lt;0,K143=0),"ERROR: Sell w/o position","")))</f>
        <v/>
      </c>
    </row>
    <row r="144">
      <c r="A144" s="3" t="n"/>
      <c r="B144" s="3" t="n"/>
      <c r="C144" s="3" t="n"/>
      <c r="D144" s="3" t="n"/>
      <c r="E144" s="3" t="n"/>
      <c r="F144" s="3" t="n"/>
      <c r="G144" s="3" t="n"/>
      <c r="H144">
        <f>IF(OR(D144="",E144=""),"",IF(D144="BUY",E144,-E144))</f>
        <v/>
      </c>
      <c r="I144" s="4">
        <f>IF(H144="","",ABS(H144)*F144)</f>
        <v/>
      </c>
      <c r="J144" s="4">
        <f>IF(H144="","",-H144*F144-G144)</f>
        <v/>
      </c>
      <c r="K144" s="5">
        <f>IF(OR(B144="",C144=""),"",SUMIFS($H$4:H143,$B$4:B143,B144,$C$4:C143,C144))</f>
        <v/>
      </c>
      <c r="L144" s="4">
        <f>IF(OR(B144="",C144=""),"",IFERROR(LOOKUP(2,1/(($B$4:B143=B144)*($C$4:C143=C144)),$O$4:O143),0))</f>
        <v/>
      </c>
      <c r="M144" s="4">
        <f>IF(K144=0,0,L144/K144)</f>
        <v/>
      </c>
      <c r="N144" s="4">
        <f>IF(H144&lt;0,ABS(H144)*(F144-M144)-G144,0)</f>
        <v/>
      </c>
      <c r="O144" s="4">
        <f>IF(H144="","",IF(H144&gt;0,L144+I144+G144,MAX(0,L144-ABS(H144)*M144)))</f>
        <v/>
      </c>
      <c r="P144" s="5">
        <f>IF(H144="","",K144+H144)</f>
        <v/>
      </c>
      <c r="Q144" s="4">
        <f>IF(P144=0,0,O144/P144)</f>
        <v/>
      </c>
      <c r="R144" s="3" t="n"/>
      <c r="S144">
        <f>IF(H144="","",IF(P144&lt;0,"ERROR: Over-sold",IF(AND(H144&lt;0,K144=0),"ERROR: Sell w/o position","")))</f>
        <v/>
      </c>
    </row>
    <row r="145">
      <c r="A145" s="3" t="n"/>
      <c r="B145" s="3" t="n"/>
      <c r="C145" s="3" t="n"/>
      <c r="D145" s="3" t="n"/>
      <c r="E145" s="3" t="n"/>
      <c r="F145" s="3" t="n"/>
      <c r="G145" s="3" t="n"/>
      <c r="H145">
        <f>IF(OR(D145="",E145=""),"",IF(D145="BUY",E145,-E145))</f>
        <v/>
      </c>
      <c r="I145" s="4">
        <f>IF(H145="","",ABS(H145)*F145)</f>
        <v/>
      </c>
      <c r="J145" s="4">
        <f>IF(H145="","",-H145*F145-G145)</f>
        <v/>
      </c>
      <c r="K145" s="5">
        <f>IF(OR(B145="",C145=""),"",SUMIFS($H$4:H144,$B$4:B144,B145,$C$4:C144,C145))</f>
        <v/>
      </c>
      <c r="L145" s="4">
        <f>IF(OR(B145="",C145=""),"",IFERROR(LOOKUP(2,1/(($B$4:B144=B145)*($C$4:C144=C145)),$O$4:O144),0))</f>
        <v/>
      </c>
      <c r="M145" s="4">
        <f>IF(K145=0,0,L145/K145)</f>
        <v/>
      </c>
      <c r="N145" s="4">
        <f>IF(H145&lt;0,ABS(H145)*(F145-M145)-G145,0)</f>
        <v/>
      </c>
      <c r="O145" s="4">
        <f>IF(H145="","",IF(H145&gt;0,L145+I145+G145,MAX(0,L145-ABS(H145)*M145)))</f>
        <v/>
      </c>
      <c r="P145" s="5">
        <f>IF(H145="","",K145+H145)</f>
        <v/>
      </c>
      <c r="Q145" s="4">
        <f>IF(P145=0,0,O145/P145)</f>
        <v/>
      </c>
      <c r="R145" s="3" t="n"/>
      <c r="S145">
        <f>IF(H145="","",IF(P145&lt;0,"ERROR: Over-sold",IF(AND(H145&lt;0,K145=0),"ERROR: Sell w/o position","")))</f>
        <v/>
      </c>
    </row>
    <row r="146">
      <c r="A146" s="3" t="n"/>
      <c r="B146" s="3" t="n"/>
      <c r="C146" s="3" t="n"/>
      <c r="D146" s="3" t="n"/>
      <c r="E146" s="3" t="n"/>
      <c r="F146" s="3" t="n"/>
      <c r="G146" s="3" t="n"/>
      <c r="H146">
        <f>IF(OR(D146="",E146=""),"",IF(D146="BUY",E146,-E146))</f>
        <v/>
      </c>
      <c r="I146" s="4">
        <f>IF(H146="","",ABS(H146)*F146)</f>
        <v/>
      </c>
      <c r="J146" s="4">
        <f>IF(H146="","",-H146*F146-G146)</f>
        <v/>
      </c>
      <c r="K146" s="5">
        <f>IF(OR(B146="",C146=""),"",SUMIFS($H$4:H145,$B$4:B145,B146,$C$4:C145,C146))</f>
        <v/>
      </c>
      <c r="L146" s="4">
        <f>IF(OR(B146="",C146=""),"",IFERROR(LOOKUP(2,1/(($B$4:B145=B146)*($C$4:C145=C146)),$O$4:O145),0))</f>
        <v/>
      </c>
      <c r="M146" s="4">
        <f>IF(K146=0,0,L146/K146)</f>
        <v/>
      </c>
      <c r="N146" s="4">
        <f>IF(H146&lt;0,ABS(H146)*(F146-M146)-G146,0)</f>
        <v/>
      </c>
      <c r="O146" s="4">
        <f>IF(H146="","",IF(H146&gt;0,L146+I146+G146,MAX(0,L146-ABS(H146)*M146)))</f>
        <v/>
      </c>
      <c r="P146" s="5">
        <f>IF(H146="","",K146+H146)</f>
        <v/>
      </c>
      <c r="Q146" s="4">
        <f>IF(P146=0,0,O146/P146)</f>
        <v/>
      </c>
      <c r="R146" s="3" t="n"/>
      <c r="S146">
        <f>IF(H146="","",IF(P146&lt;0,"ERROR: Over-sold",IF(AND(H146&lt;0,K146=0),"ERROR: Sell w/o position","")))</f>
        <v/>
      </c>
    </row>
    <row r="147">
      <c r="A147" s="3" t="n"/>
      <c r="B147" s="3" t="n"/>
      <c r="C147" s="3" t="n"/>
      <c r="D147" s="3" t="n"/>
      <c r="E147" s="3" t="n"/>
      <c r="F147" s="3" t="n"/>
      <c r="G147" s="3" t="n"/>
      <c r="H147">
        <f>IF(OR(D147="",E147=""),"",IF(D147="BUY",E147,-E147))</f>
        <v/>
      </c>
      <c r="I147" s="4">
        <f>IF(H147="","",ABS(H147)*F147)</f>
        <v/>
      </c>
      <c r="J147" s="4">
        <f>IF(H147="","",-H147*F147-G147)</f>
        <v/>
      </c>
      <c r="K147" s="5">
        <f>IF(OR(B147="",C147=""),"",SUMIFS($H$4:H146,$B$4:B146,B147,$C$4:C146,C147))</f>
        <v/>
      </c>
      <c r="L147" s="4">
        <f>IF(OR(B147="",C147=""),"",IFERROR(LOOKUP(2,1/(($B$4:B146=B147)*($C$4:C146=C147)),$O$4:O146),0))</f>
        <v/>
      </c>
      <c r="M147" s="4">
        <f>IF(K147=0,0,L147/K147)</f>
        <v/>
      </c>
      <c r="N147" s="4">
        <f>IF(H147&lt;0,ABS(H147)*(F147-M147)-G147,0)</f>
        <v/>
      </c>
      <c r="O147" s="4">
        <f>IF(H147="","",IF(H147&gt;0,L147+I147+G147,MAX(0,L147-ABS(H147)*M147)))</f>
        <v/>
      </c>
      <c r="P147" s="5">
        <f>IF(H147="","",K147+H147)</f>
        <v/>
      </c>
      <c r="Q147" s="4">
        <f>IF(P147=0,0,O147/P147)</f>
        <v/>
      </c>
      <c r="R147" s="3" t="n"/>
      <c r="S147">
        <f>IF(H147="","",IF(P147&lt;0,"ERROR: Over-sold",IF(AND(H147&lt;0,K147=0),"ERROR: Sell w/o position","")))</f>
        <v/>
      </c>
    </row>
    <row r="148">
      <c r="A148" s="3" t="n"/>
      <c r="B148" s="3" t="n"/>
      <c r="C148" s="3" t="n"/>
      <c r="D148" s="3" t="n"/>
      <c r="E148" s="3" t="n"/>
      <c r="F148" s="3" t="n"/>
      <c r="G148" s="3" t="n"/>
      <c r="H148">
        <f>IF(OR(D148="",E148=""),"",IF(D148="BUY",E148,-E148))</f>
        <v/>
      </c>
      <c r="I148" s="4">
        <f>IF(H148="","",ABS(H148)*F148)</f>
        <v/>
      </c>
      <c r="J148" s="4">
        <f>IF(H148="","",-H148*F148-G148)</f>
        <v/>
      </c>
      <c r="K148" s="5">
        <f>IF(OR(B148="",C148=""),"",SUMIFS($H$4:H147,$B$4:B147,B148,$C$4:C147,C148))</f>
        <v/>
      </c>
      <c r="L148" s="4">
        <f>IF(OR(B148="",C148=""),"",IFERROR(LOOKUP(2,1/(($B$4:B147=B148)*($C$4:C147=C148)),$O$4:O147),0))</f>
        <v/>
      </c>
      <c r="M148" s="4">
        <f>IF(K148=0,0,L148/K148)</f>
        <v/>
      </c>
      <c r="N148" s="4">
        <f>IF(H148&lt;0,ABS(H148)*(F148-M148)-G148,0)</f>
        <v/>
      </c>
      <c r="O148" s="4">
        <f>IF(H148="","",IF(H148&gt;0,L148+I148+G148,MAX(0,L148-ABS(H148)*M148)))</f>
        <v/>
      </c>
      <c r="P148" s="5">
        <f>IF(H148="","",K148+H148)</f>
        <v/>
      </c>
      <c r="Q148" s="4">
        <f>IF(P148=0,0,O148/P148)</f>
        <v/>
      </c>
      <c r="R148" s="3" t="n"/>
      <c r="S148">
        <f>IF(H148="","",IF(P148&lt;0,"ERROR: Over-sold",IF(AND(H148&lt;0,K148=0),"ERROR: Sell w/o position","")))</f>
        <v/>
      </c>
    </row>
    <row r="149">
      <c r="A149" s="3" t="n"/>
      <c r="B149" s="3" t="n"/>
      <c r="C149" s="3" t="n"/>
      <c r="D149" s="3" t="n"/>
      <c r="E149" s="3" t="n"/>
      <c r="F149" s="3" t="n"/>
      <c r="G149" s="3" t="n"/>
      <c r="H149">
        <f>IF(OR(D149="",E149=""),"",IF(D149="BUY",E149,-E149))</f>
        <v/>
      </c>
      <c r="I149" s="4">
        <f>IF(H149="","",ABS(H149)*F149)</f>
        <v/>
      </c>
      <c r="J149" s="4">
        <f>IF(H149="","",-H149*F149-G149)</f>
        <v/>
      </c>
      <c r="K149" s="5">
        <f>IF(OR(B149="",C149=""),"",SUMIFS($H$4:H148,$B$4:B148,B149,$C$4:C148,C149))</f>
        <v/>
      </c>
      <c r="L149" s="4">
        <f>IF(OR(B149="",C149=""),"",IFERROR(LOOKUP(2,1/(($B$4:B148=B149)*($C$4:C148=C149)),$O$4:O148),0))</f>
        <v/>
      </c>
      <c r="M149" s="4">
        <f>IF(K149=0,0,L149/K149)</f>
        <v/>
      </c>
      <c r="N149" s="4">
        <f>IF(H149&lt;0,ABS(H149)*(F149-M149)-G149,0)</f>
        <v/>
      </c>
      <c r="O149" s="4">
        <f>IF(H149="","",IF(H149&gt;0,L149+I149+G149,MAX(0,L149-ABS(H149)*M149)))</f>
        <v/>
      </c>
      <c r="P149" s="5">
        <f>IF(H149="","",K149+H149)</f>
        <v/>
      </c>
      <c r="Q149" s="4">
        <f>IF(P149=0,0,O149/P149)</f>
        <v/>
      </c>
      <c r="R149" s="3" t="n"/>
      <c r="S149">
        <f>IF(H149="","",IF(P149&lt;0,"ERROR: Over-sold",IF(AND(H149&lt;0,K149=0),"ERROR: Sell w/o position","")))</f>
        <v/>
      </c>
    </row>
    <row r="150">
      <c r="A150" s="3" t="n"/>
      <c r="B150" s="3" t="n"/>
      <c r="C150" s="3" t="n"/>
      <c r="D150" s="3" t="n"/>
      <c r="E150" s="3" t="n"/>
      <c r="F150" s="3" t="n"/>
      <c r="G150" s="3" t="n"/>
      <c r="H150">
        <f>IF(OR(D150="",E150=""),"",IF(D150="BUY",E150,-E150))</f>
        <v/>
      </c>
      <c r="I150" s="4">
        <f>IF(H150="","",ABS(H150)*F150)</f>
        <v/>
      </c>
      <c r="J150" s="4">
        <f>IF(H150="","",-H150*F150-G150)</f>
        <v/>
      </c>
      <c r="K150" s="5">
        <f>IF(OR(B150="",C150=""),"",SUMIFS($H$4:H149,$B$4:B149,B150,$C$4:C149,C150))</f>
        <v/>
      </c>
      <c r="L150" s="4">
        <f>IF(OR(B150="",C150=""),"",IFERROR(LOOKUP(2,1/(($B$4:B149=B150)*($C$4:C149=C150)),$O$4:O149),0))</f>
        <v/>
      </c>
      <c r="M150" s="4">
        <f>IF(K150=0,0,L150/K150)</f>
        <v/>
      </c>
      <c r="N150" s="4">
        <f>IF(H150&lt;0,ABS(H150)*(F150-M150)-G150,0)</f>
        <v/>
      </c>
      <c r="O150" s="4">
        <f>IF(H150="","",IF(H150&gt;0,L150+I150+G150,MAX(0,L150-ABS(H150)*M150)))</f>
        <v/>
      </c>
      <c r="P150" s="5">
        <f>IF(H150="","",K150+H150)</f>
        <v/>
      </c>
      <c r="Q150" s="4">
        <f>IF(P150=0,0,O150/P150)</f>
        <v/>
      </c>
      <c r="R150" s="3" t="n"/>
      <c r="S150">
        <f>IF(H150="","",IF(P150&lt;0,"ERROR: Over-sold",IF(AND(H150&lt;0,K150=0),"ERROR: Sell w/o position","")))</f>
        <v/>
      </c>
    </row>
    <row r="151">
      <c r="A151" s="3" t="n"/>
      <c r="B151" s="3" t="n"/>
      <c r="C151" s="3" t="n"/>
      <c r="D151" s="3" t="n"/>
      <c r="E151" s="3" t="n"/>
      <c r="F151" s="3" t="n"/>
      <c r="G151" s="3" t="n"/>
      <c r="H151">
        <f>IF(OR(D151="",E151=""),"",IF(D151="BUY",E151,-E151))</f>
        <v/>
      </c>
      <c r="I151" s="4">
        <f>IF(H151="","",ABS(H151)*F151)</f>
        <v/>
      </c>
      <c r="J151" s="4">
        <f>IF(H151="","",-H151*F151-G151)</f>
        <v/>
      </c>
      <c r="K151" s="5">
        <f>IF(OR(B151="",C151=""),"",SUMIFS($H$4:H150,$B$4:B150,B151,$C$4:C150,C151))</f>
        <v/>
      </c>
      <c r="L151" s="4">
        <f>IF(OR(B151="",C151=""),"",IFERROR(LOOKUP(2,1/(($B$4:B150=B151)*($C$4:C150=C151)),$O$4:O150),0))</f>
        <v/>
      </c>
      <c r="M151" s="4">
        <f>IF(K151=0,0,L151/K151)</f>
        <v/>
      </c>
      <c r="N151" s="4">
        <f>IF(H151&lt;0,ABS(H151)*(F151-M151)-G151,0)</f>
        <v/>
      </c>
      <c r="O151" s="4">
        <f>IF(H151="","",IF(H151&gt;0,L151+I151+G151,MAX(0,L151-ABS(H151)*M151)))</f>
        <v/>
      </c>
      <c r="P151" s="5">
        <f>IF(H151="","",K151+H151)</f>
        <v/>
      </c>
      <c r="Q151" s="4">
        <f>IF(P151=0,0,O151/P151)</f>
        <v/>
      </c>
      <c r="R151" s="3" t="n"/>
      <c r="S151">
        <f>IF(H151="","",IF(P151&lt;0,"ERROR: Over-sold",IF(AND(H151&lt;0,K151=0),"ERROR: Sell w/o position","")))</f>
        <v/>
      </c>
    </row>
    <row r="152">
      <c r="A152" s="3" t="n"/>
      <c r="B152" s="3" t="n"/>
      <c r="C152" s="3" t="n"/>
      <c r="D152" s="3" t="n"/>
      <c r="E152" s="3" t="n"/>
      <c r="F152" s="3" t="n"/>
      <c r="G152" s="3" t="n"/>
      <c r="H152">
        <f>IF(OR(D152="",E152=""),"",IF(D152="BUY",E152,-E152))</f>
        <v/>
      </c>
      <c r="I152" s="4">
        <f>IF(H152="","",ABS(H152)*F152)</f>
        <v/>
      </c>
      <c r="J152" s="4">
        <f>IF(H152="","",-H152*F152-G152)</f>
        <v/>
      </c>
      <c r="K152" s="5">
        <f>IF(OR(B152="",C152=""),"",SUMIFS($H$4:H151,$B$4:B151,B152,$C$4:C151,C152))</f>
        <v/>
      </c>
      <c r="L152" s="4">
        <f>IF(OR(B152="",C152=""),"",IFERROR(LOOKUP(2,1/(($B$4:B151=B152)*($C$4:C151=C152)),$O$4:O151),0))</f>
        <v/>
      </c>
      <c r="M152" s="4">
        <f>IF(K152=0,0,L152/K152)</f>
        <v/>
      </c>
      <c r="N152" s="4">
        <f>IF(H152&lt;0,ABS(H152)*(F152-M152)-G152,0)</f>
        <v/>
      </c>
      <c r="O152" s="4">
        <f>IF(H152="","",IF(H152&gt;0,L152+I152+G152,MAX(0,L152-ABS(H152)*M152)))</f>
        <v/>
      </c>
      <c r="P152" s="5">
        <f>IF(H152="","",K152+H152)</f>
        <v/>
      </c>
      <c r="Q152" s="4">
        <f>IF(P152=0,0,O152/P152)</f>
        <v/>
      </c>
      <c r="R152" s="3" t="n"/>
      <c r="S152">
        <f>IF(H152="","",IF(P152&lt;0,"ERROR: Over-sold",IF(AND(H152&lt;0,K152=0),"ERROR: Sell w/o position","")))</f>
        <v/>
      </c>
    </row>
    <row r="153">
      <c r="A153" s="3" t="n"/>
      <c r="B153" s="3" t="n"/>
      <c r="C153" s="3" t="n"/>
      <c r="D153" s="3" t="n"/>
      <c r="E153" s="3" t="n"/>
      <c r="F153" s="3" t="n"/>
      <c r="G153" s="3" t="n"/>
      <c r="H153">
        <f>IF(OR(D153="",E153=""),"",IF(D153="BUY",E153,-E153))</f>
        <v/>
      </c>
      <c r="I153" s="4">
        <f>IF(H153="","",ABS(H153)*F153)</f>
        <v/>
      </c>
      <c r="J153" s="4">
        <f>IF(H153="","",-H153*F153-G153)</f>
        <v/>
      </c>
      <c r="K153" s="5">
        <f>IF(OR(B153="",C153=""),"",SUMIFS($H$4:H152,$B$4:B152,B153,$C$4:C152,C153))</f>
        <v/>
      </c>
      <c r="L153" s="4">
        <f>IF(OR(B153="",C153=""),"",IFERROR(LOOKUP(2,1/(($B$4:B152=B153)*($C$4:C152=C153)),$O$4:O152),0))</f>
        <v/>
      </c>
      <c r="M153" s="4">
        <f>IF(K153=0,0,L153/K153)</f>
        <v/>
      </c>
      <c r="N153" s="4">
        <f>IF(H153&lt;0,ABS(H153)*(F153-M153)-G153,0)</f>
        <v/>
      </c>
      <c r="O153" s="4">
        <f>IF(H153="","",IF(H153&gt;0,L153+I153+G153,MAX(0,L153-ABS(H153)*M153)))</f>
        <v/>
      </c>
      <c r="P153" s="5">
        <f>IF(H153="","",K153+H153)</f>
        <v/>
      </c>
      <c r="Q153" s="4">
        <f>IF(P153=0,0,O153/P153)</f>
        <v/>
      </c>
      <c r="R153" s="3" t="n"/>
      <c r="S153">
        <f>IF(H153="","",IF(P153&lt;0,"ERROR: Over-sold",IF(AND(H153&lt;0,K153=0),"ERROR: Sell w/o position","")))</f>
        <v/>
      </c>
    </row>
    <row r="154">
      <c r="A154" s="3" t="n"/>
      <c r="B154" s="3" t="n"/>
      <c r="C154" s="3" t="n"/>
      <c r="D154" s="3" t="n"/>
      <c r="E154" s="3" t="n"/>
      <c r="F154" s="3" t="n"/>
      <c r="G154" s="3" t="n"/>
      <c r="H154">
        <f>IF(OR(D154="",E154=""),"",IF(D154="BUY",E154,-E154))</f>
        <v/>
      </c>
      <c r="I154" s="4">
        <f>IF(H154="","",ABS(H154)*F154)</f>
        <v/>
      </c>
      <c r="J154" s="4">
        <f>IF(H154="","",-H154*F154-G154)</f>
        <v/>
      </c>
      <c r="K154" s="5">
        <f>IF(OR(B154="",C154=""),"",SUMIFS($H$4:H153,$B$4:B153,B154,$C$4:C153,C154))</f>
        <v/>
      </c>
      <c r="L154" s="4">
        <f>IF(OR(B154="",C154=""),"",IFERROR(LOOKUP(2,1/(($B$4:B153=B154)*($C$4:C153=C154)),$O$4:O153),0))</f>
        <v/>
      </c>
      <c r="M154" s="4">
        <f>IF(K154=0,0,L154/K154)</f>
        <v/>
      </c>
      <c r="N154" s="4">
        <f>IF(H154&lt;0,ABS(H154)*(F154-M154)-G154,0)</f>
        <v/>
      </c>
      <c r="O154" s="4">
        <f>IF(H154="","",IF(H154&gt;0,L154+I154+G154,MAX(0,L154-ABS(H154)*M154)))</f>
        <v/>
      </c>
      <c r="P154" s="5">
        <f>IF(H154="","",K154+H154)</f>
        <v/>
      </c>
      <c r="Q154" s="4">
        <f>IF(P154=0,0,O154/P154)</f>
        <v/>
      </c>
      <c r="R154" s="3" t="n"/>
      <c r="S154">
        <f>IF(H154="","",IF(P154&lt;0,"ERROR: Over-sold",IF(AND(H154&lt;0,K154=0),"ERROR: Sell w/o position","")))</f>
        <v/>
      </c>
    </row>
    <row r="155">
      <c r="A155" s="3" t="n"/>
      <c r="B155" s="3" t="n"/>
      <c r="C155" s="3" t="n"/>
      <c r="D155" s="3" t="n"/>
      <c r="E155" s="3" t="n"/>
      <c r="F155" s="3" t="n"/>
      <c r="G155" s="3" t="n"/>
      <c r="H155">
        <f>IF(OR(D155="",E155=""),"",IF(D155="BUY",E155,-E155))</f>
        <v/>
      </c>
      <c r="I155" s="4">
        <f>IF(H155="","",ABS(H155)*F155)</f>
        <v/>
      </c>
      <c r="J155" s="4">
        <f>IF(H155="","",-H155*F155-G155)</f>
        <v/>
      </c>
      <c r="K155" s="5">
        <f>IF(OR(B155="",C155=""),"",SUMIFS($H$4:H154,$B$4:B154,B155,$C$4:C154,C155))</f>
        <v/>
      </c>
      <c r="L155" s="4">
        <f>IF(OR(B155="",C155=""),"",IFERROR(LOOKUP(2,1/(($B$4:B154=B155)*($C$4:C154=C155)),$O$4:O154),0))</f>
        <v/>
      </c>
      <c r="M155" s="4">
        <f>IF(K155=0,0,L155/K155)</f>
        <v/>
      </c>
      <c r="N155" s="4">
        <f>IF(H155&lt;0,ABS(H155)*(F155-M155)-G155,0)</f>
        <v/>
      </c>
      <c r="O155" s="4">
        <f>IF(H155="","",IF(H155&gt;0,L155+I155+G155,MAX(0,L155-ABS(H155)*M155)))</f>
        <v/>
      </c>
      <c r="P155" s="5">
        <f>IF(H155="","",K155+H155)</f>
        <v/>
      </c>
      <c r="Q155" s="4">
        <f>IF(P155=0,0,O155/P155)</f>
        <v/>
      </c>
      <c r="R155" s="3" t="n"/>
      <c r="S155">
        <f>IF(H155="","",IF(P155&lt;0,"ERROR: Over-sold",IF(AND(H155&lt;0,K155=0),"ERROR: Sell w/o position","")))</f>
        <v/>
      </c>
    </row>
    <row r="156">
      <c r="A156" s="3" t="n"/>
      <c r="B156" s="3" t="n"/>
      <c r="C156" s="3" t="n"/>
      <c r="D156" s="3" t="n"/>
      <c r="E156" s="3" t="n"/>
      <c r="F156" s="3" t="n"/>
      <c r="G156" s="3" t="n"/>
      <c r="H156">
        <f>IF(OR(D156="",E156=""),"",IF(D156="BUY",E156,-E156))</f>
        <v/>
      </c>
      <c r="I156" s="4">
        <f>IF(H156="","",ABS(H156)*F156)</f>
        <v/>
      </c>
      <c r="J156" s="4">
        <f>IF(H156="","",-H156*F156-G156)</f>
        <v/>
      </c>
      <c r="K156" s="5">
        <f>IF(OR(B156="",C156=""),"",SUMIFS($H$4:H155,$B$4:B155,B156,$C$4:C155,C156))</f>
        <v/>
      </c>
      <c r="L156" s="4">
        <f>IF(OR(B156="",C156=""),"",IFERROR(LOOKUP(2,1/(($B$4:B155=B156)*($C$4:C155=C156)),$O$4:O155),0))</f>
        <v/>
      </c>
      <c r="M156" s="4">
        <f>IF(K156=0,0,L156/K156)</f>
        <v/>
      </c>
      <c r="N156" s="4">
        <f>IF(H156&lt;0,ABS(H156)*(F156-M156)-G156,0)</f>
        <v/>
      </c>
      <c r="O156" s="4">
        <f>IF(H156="","",IF(H156&gt;0,L156+I156+G156,MAX(0,L156-ABS(H156)*M156)))</f>
        <v/>
      </c>
      <c r="P156" s="5">
        <f>IF(H156="","",K156+H156)</f>
        <v/>
      </c>
      <c r="Q156" s="4">
        <f>IF(P156=0,0,O156/P156)</f>
        <v/>
      </c>
      <c r="R156" s="3" t="n"/>
      <c r="S156">
        <f>IF(H156="","",IF(P156&lt;0,"ERROR: Over-sold",IF(AND(H156&lt;0,K156=0),"ERROR: Sell w/o position","")))</f>
        <v/>
      </c>
    </row>
    <row r="157">
      <c r="A157" s="3" t="n"/>
      <c r="B157" s="3" t="n"/>
      <c r="C157" s="3" t="n"/>
      <c r="D157" s="3" t="n"/>
      <c r="E157" s="3" t="n"/>
      <c r="F157" s="3" t="n"/>
      <c r="G157" s="3" t="n"/>
      <c r="H157">
        <f>IF(OR(D157="",E157=""),"",IF(D157="BUY",E157,-E157))</f>
        <v/>
      </c>
      <c r="I157" s="4">
        <f>IF(H157="","",ABS(H157)*F157)</f>
        <v/>
      </c>
      <c r="J157" s="4">
        <f>IF(H157="","",-H157*F157-G157)</f>
        <v/>
      </c>
      <c r="K157" s="5">
        <f>IF(OR(B157="",C157=""),"",SUMIFS($H$4:H156,$B$4:B156,B157,$C$4:C156,C157))</f>
        <v/>
      </c>
      <c r="L157" s="4">
        <f>IF(OR(B157="",C157=""),"",IFERROR(LOOKUP(2,1/(($B$4:B156=B157)*($C$4:C156=C157)),$O$4:O156),0))</f>
        <v/>
      </c>
      <c r="M157" s="4">
        <f>IF(K157=0,0,L157/K157)</f>
        <v/>
      </c>
      <c r="N157" s="4">
        <f>IF(H157&lt;0,ABS(H157)*(F157-M157)-G157,0)</f>
        <v/>
      </c>
      <c r="O157" s="4">
        <f>IF(H157="","",IF(H157&gt;0,L157+I157+G157,MAX(0,L157-ABS(H157)*M157)))</f>
        <v/>
      </c>
      <c r="P157" s="5">
        <f>IF(H157="","",K157+H157)</f>
        <v/>
      </c>
      <c r="Q157" s="4">
        <f>IF(P157=0,0,O157/P157)</f>
        <v/>
      </c>
      <c r="R157" s="3" t="n"/>
      <c r="S157">
        <f>IF(H157="","",IF(P157&lt;0,"ERROR: Over-sold",IF(AND(H157&lt;0,K157=0),"ERROR: Sell w/o position","")))</f>
        <v/>
      </c>
    </row>
    <row r="158">
      <c r="A158" s="3" t="n"/>
      <c r="B158" s="3" t="n"/>
      <c r="C158" s="3" t="n"/>
      <c r="D158" s="3" t="n"/>
      <c r="E158" s="3" t="n"/>
      <c r="F158" s="3" t="n"/>
      <c r="G158" s="3" t="n"/>
      <c r="H158">
        <f>IF(OR(D158="",E158=""),"",IF(D158="BUY",E158,-E158))</f>
        <v/>
      </c>
      <c r="I158" s="4">
        <f>IF(H158="","",ABS(H158)*F158)</f>
        <v/>
      </c>
      <c r="J158" s="4">
        <f>IF(H158="","",-H158*F158-G158)</f>
        <v/>
      </c>
      <c r="K158" s="5">
        <f>IF(OR(B158="",C158=""),"",SUMIFS($H$4:H157,$B$4:B157,B158,$C$4:C157,C158))</f>
        <v/>
      </c>
      <c r="L158" s="4">
        <f>IF(OR(B158="",C158=""),"",IFERROR(LOOKUP(2,1/(($B$4:B157=B158)*($C$4:C157=C158)),$O$4:O157),0))</f>
        <v/>
      </c>
      <c r="M158" s="4">
        <f>IF(K158=0,0,L158/K158)</f>
        <v/>
      </c>
      <c r="N158" s="4">
        <f>IF(H158&lt;0,ABS(H158)*(F158-M158)-G158,0)</f>
        <v/>
      </c>
      <c r="O158" s="4">
        <f>IF(H158="","",IF(H158&gt;0,L158+I158+G158,MAX(0,L158-ABS(H158)*M158)))</f>
        <v/>
      </c>
      <c r="P158" s="5">
        <f>IF(H158="","",K158+H158)</f>
        <v/>
      </c>
      <c r="Q158" s="4">
        <f>IF(P158=0,0,O158/P158)</f>
        <v/>
      </c>
      <c r="R158" s="3" t="n"/>
      <c r="S158">
        <f>IF(H158="","",IF(P158&lt;0,"ERROR: Over-sold",IF(AND(H158&lt;0,K158=0),"ERROR: Sell w/o position","")))</f>
        <v/>
      </c>
    </row>
    <row r="159">
      <c r="A159" s="3" t="n"/>
      <c r="B159" s="3" t="n"/>
      <c r="C159" s="3" t="n"/>
      <c r="D159" s="3" t="n"/>
      <c r="E159" s="3" t="n"/>
      <c r="F159" s="3" t="n"/>
      <c r="G159" s="3" t="n"/>
      <c r="H159">
        <f>IF(OR(D159="",E159=""),"",IF(D159="BUY",E159,-E159))</f>
        <v/>
      </c>
      <c r="I159" s="4">
        <f>IF(H159="","",ABS(H159)*F159)</f>
        <v/>
      </c>
      <c r="J159" s="4">
        <f>IF(H159="","",-H159*F159-G159)</f>
        <v/>
      </c>
      <c r="K159" s="5">
        <f>IF(OR(B159="",C159=""),"",SUMIFS($H$4:H158,$B$4:B158,B159,$C$4:C158,C159))</f>
        <v/>
      </c>
      <c r="L159" s="4">
        <f>IF(OR(B159="",C159=""),"",IFERROR(LOOKUP(2,1/(($B$4:B158=B159)*($C$4:C158=C159)),$O$4:O158),0))</f>
        <v/>
      </c>
      <c r="M159" s="4">
        <f>IF(K159=0,0,L159/K159)</f>
        <v/>
      </c>
      <c r="N159" s="4">
        <f>IF(H159&lt;0,ABS(H159)*(F159-M159)-G159,0)</f>
        <v/>
      </c>
      <c r="O159" s="4">
        <f>IF(H159="","",IF(H159&gt;0,L159+I159+G159,MAX(0,L159-ABS(H159)*M159)))</f>
        <v/>
      </c>
      <c r="P159" s="5">
        <f>IF(H159="","",K159+H159)</f>
        <v/>
      </c>
      <c r="Q159" s="4">
        <f>IF(P159=0,0,O159/P159)</f>
        <v/>
      </c>
      <c r="R159" s="3" t="n"/>
      <c r="S159">
        <f>IF(H159="","",IF(P159&lt;0,"ERROR: Over-sold",IF(AND(H159&lt;0,K159=0),"ERROR: Sell w/o position","")))</f>
        <v/>
      </c>
    </row>
    <row r="160">
      <c r="A160" s="3" t="n"/>
      <c r="B160" s="3" t="n"/>
      <c r="C160" s="3" t="n"/>
      <c r="D160" s="3" t="n"/>
      <c r="E160" s="3" t="n"/>
      <c r="F160" s="3" t="n"/>
      <c r="G160" s="3" t="n"/>
      <c r="H160">
        <f>IF(OR(D160="",E160=""),"",IF(D160="BUY",E160,-E160))</f>
        <v/>
      </c>
      <c r="I160" s="4">
        <f>IF(H160="","",ABS(H160)*F160)</f>
        <v/>
      </c>
      <c r="J160" s="4">
        <f>IF(H160="","",-H160*F160-G160)</f>
        <v/>
      </c>
      <c r="K160" s="5">
        <f>IF(OR(B160="",C160=""),"",SUMIFS($H$4:H159,$B$4:B159,B160,$C$4:C159,C160))</f>
        <v/>
      </c>
      <c r="L160" s="4">
        <f>IF(OR(B160="",C160=""),"",IFERROR(LOOKUP(2,1/(($B$4:B159=B160)*($C$4:C159=C160)),$O$4:O159),0))</f>
        <v/>
      </c>
      <c r="M160" s="4">
        <f>IF(K160=0,0,L160/K160)</f>
        <v/>
      </c>
      <c r="N160" s="4">
        <f>IF(H160&lt;0,ABS(H160)*(F160-M160)-G160,0)</f>
        <v/>
      </c>
      <c r="O160" s="4">
        <f>IF(H160="","",IF(H160&gt;0,L160+I160+G160,MAX(0,L160-ABS(H160)*M160)))</f>
        <v/>
      </c>
      <c r="P160" s="5">
        <f>IF(H160="","",K160+H160)</f>
        <v/>
      </c>
      <c r="Q160" s="4">
        <f>IF(P160=0,0,O160/P160)</f>
        <v/>
      </c>
      <c r="R160" s="3" t="n"/>
      <c r="S160">
        <f>IF(H160="","",IF(P160&lt;0,"ERROR: Over-sold",IF(AND(H160&lt;0,K160=0),"ERROR: Sell w/o position","")))</f>
        <v/>
      </c>
    </row>
    <row r="161">
      <c r="A161" s="3" t="n"/>
      <c r="B161" s="3" t="n"/>
      <c r="C161" s="3" t="n"/>
      <c r="D161" s="3" t="n"/>
      <c r="E161" s="3" t="n"/>
      <c r="F161" s="3" t="n"/>
      <c r="G161" s="3" t="n"/>
      <c r="H161">
        <f>IF(OR(D161="",E161=""),"",IF(D161="BUY",E161,-E161))</f>
        <v/>
      </c>
      <c r="I161" s="4">
        <f>IF(H161="","",ABS(H161)*F161)</f>
        <v/>
      </c>
      <c r="J161" s="4">
        <f>IF(H161="","",-H161*F161-G161)</f>
        <v/>
      </c>
      <c r="K161" s="5">
        <f>IF(OR(B161="",C161=""),"",SUMIFS($H$4:H160,$B$4:B160,B161,$C$4:C160,C161))</f>
        <v/>
      </c>
      <c r="L161" s="4">
        <f>IF(OR(B161="",C161=""),"",IFERROR(LOOKUP(2,1/(($B$4:B160=B161)*($C$4:C160=C161)),$O$4:O160),0))</f>
        <v/>
      </c>
      <c r="M161" s="4">
        <f>IF(K161=0,0,L161/K161)</f>
        <v/>
      </c>
      <c r="N161" s="4">
        <f>IF(H161&lt;0,ABS(H161)*(F161-M161)-G161,0)</f>
        <v/>
      </c>
      <c r="O161" s="4">
        <f>IF(H161="","",IF(H161&gt;0,L161+I161+G161,MAX(0,L161-ABS(H161)*M161)))</f>
        <v/>
      </c>
      <c r="P161" s="5">
        <f>IF(H161="","",K161+H161)</f>
        <v/>
      </c>
      <c r="Q161" s="4">
        <f>IF(P161=0,0,O161/P161)</f>
        <v/>
      </c>
      <c r="R161" s="3" t="n"/>
      <c r="S161">
        <f>IF(H161="","",IF(P161&lt;0,"ERROR: Over-sold",IF(AND(H161&lt;0,K161=0),"ERROR: Sell w/o position","")))</f>
        <v/>
      </c>
    </row>
    <row r="162">
      <c r="A162" s="3" t="n"/>
      <c r="B162" s="3" t="n"/>
      <c r="C162" s="3" t="n"/>
      <c r="D162" s="3" t="n"/>
      <c r="E162" s="3" t="n"/>
      <c r="F162" s="3" t="n"/>
      <c r="G162" s="3" t="n"/>
      <c r="H162">
        <f>IF(OR(D162="",E162=""),"",IF(D162="BUY",E162,-E162))</f>
        <v/>
      </c>
      <c r="I162" s="4">
        <f>IF(H162="","",ABS(H162)*F162)</f>
        <v/>
      </c>
      <c r="J162" s="4">
        <f>IF(H162="","",-H162*F162-G162)</f>
        <v/>
      </c>
      <c r="K162" s="5">
        <f>IF(OR(B162="",C162=""),"",SUMIFS($H$4:H161,$B$4:B161,B162,$C$4:C161,C162))</f>
        <v/>
      </c>
      <c r="L162" s="4">
        <f>IF(OR(B162="",C162=""),"",IFERROR(LOOKUP(2,1/(($B$4:B161=B162)*($C$4:C161=C162)),$O$4:O161),0))</f>
        <v/>
      </c>
      <c r="M162" s="4">
        <f>IF(K162=0,0,L162/K162)</f>
        <v/>
      </c>
      <c r="N162" s="4">
        <f>IF(H162&lt;0,ABS(H162)*(F162-M162)-G162,0)</f>
        <v/>
      </c>
      <c r="O162" s="4">
        <f>IF(H162="","",IF(H162&gt;0,L162+I162+G162,MAX(0,L162-ABS(H162)*M162)))</f>
        <v/>
      </c>
      <c r="P162" s="5">
        <f>IF(H162="","",K162+H162)</f>
        <v/>
      </c>
      <c r="Q162" s="4">
        <f>IF(P162=0,0,O162/P162)</f>
        <v/>
      </c>
      <c r="R162" s="3" t="n"/>
      <c r="S162">
        <f>IF(H162="","",IF(P162&lt;0,"ERROR: Over-sold",IF(AND(H162&lt;0,K162=0),"ERROR: Sell w/o position","")))</f>
        <v/>
      </c>
    </row>
    <row r="163">
      <c r="A163" s="3" t="n"/>
      <c r="B163" s="3" t="n"/>
      <c r="C163" s="3" t="n"/>
      <c r="D163" s="3" t="n"/>
      <c r="E163" s="3" t="n"/>
      <c r="F163" s="3" t="n"/>
      <c r="G163" s="3" t="n"/>
      <c r="H163">
        <f>IF(OR(D163="",E163=""),"",IF(D163="BUY",E163,-E163))</f>
        <v/>
      </c>
      <c r="I163" s="4">
        <f>IF(H163="","",ABS(H163)*F163)</f>
        <v/>
      </c>
      <c r="J163" s="4">
        <f>IF(H163="","",-H163*F163-G163)</f>
        <v/>
      </c>
      <c r="K163" s="5">
        <f>IF(OR(B163="",C163=""),"",SUMIFS($H$4:H162,$B$4:B162,B163,$C$4:C162,C163))</f>
        <v/>
      </c>
      <c r="L163" s="4">
        <f>IF(OR(B163="",C163=""),"",IFERROR(LOOKUP(2,1/(($B$4:B162=B163)*($C$4:C162=C163)),$O$4:O162),0))</f>
        <v/>
      </c>
      <c r="M163" s="4">
        <f>IF(K163=0,0,L163/K163)</f>
        <v/>
      </c>
      <c r="N163" s="4">
        <f>IF(H163&lt;0,ABS(H163)*(F163-M163)-G163,0)</f>
        <v/>
      </c>
      <c r="O163" s="4">
        <f>IF(H163="","",IF(H163&gt;0,L163+I163+G163,MAX(0,L163-ABS(H163)*M163)))</f>
        <v/>
      </c>
      <c r="P163" s="5">
        <f>IF(H163="","",K163+H163)</f>
        <v/>
      </c>
      <c r="Q163" s="4">
        <f>IF(P163=0,0,O163/P163)</f>
        <v/>
      </c>
      <c r="R163" s="3" t="n"/>
      <c r="S163">
        <f>IF(H163="","",IF(P163&lt;0,"ERROR: Over-sold",IF(AND(H163&lt;0,K163=0),"ERROR: Sell w/o position","")))</f>
        <v/>
      </c>
    </row>
    <row r="164">
      <c r="A164" s="3" t="n"/>
      <c r="B164" s="3" t="n"/>
      <c r="C164" s="3" t="n"/>
      <c r="D164" s="3" t="n"/>
      <c r="E164" s="3" t="n"/>
      <c r="F164" s="3" t="n"/>
      <c r="G164" s="3" t="n"/>
      <c r="H164">
        <f>IF(OR(D164="",E164=""),"",IF(D164="BUY",E164,-E164))</f>
        <v/>
      </c>
      <c r="I164" s="4">
        <f>IF(H164="","",ABS(H164)*F164)</f>
        <v/>
      </c>
      <c r="J164" s="4">
        <f>IF(H164="","",-H164*F164-G164)</f>
        <v/>
      </c>
      <c r="K164" s="5">
        <f>IF(OR(B164="",C164=""),"",SUMIFS($H$4:H163,$B$4:B163,B164,$C$4:C163,C164))</f>
        <v/>
      </c>
      <c r="L164" s="4">
        <f>IF(OR(B164="",C164=""),"",IFERROR(LOOKUP(2,1/(($B$4:B163=B164)*($C$4:C163=C164)),$O$4:O163),0))</f>
        <v/>
      </c>
      <c r="M164" s="4">
        <f>IF(K164=0,0,L164/K164)</f>
        <v/>
      </c>
      <c r="N164" s="4">
        <f>IF(H164&lt;0,ABS(H164)*(F164-M164)-G164,0)</f>
        <v/>
      </c>
      <c r="O164" s="4">
        <f>IF(H164="","",IF(H164&gt;0,L164+I164+G164,MAX(0,L164-ABS(H164)*M164)))</f>
        <v/>
      </c>
      <c r="P164" s="5">
        <f>IF(H164="","",K164+H164)</f>
        <v/>
      </c>
      <c r="Q164" s="4">
        <f>IF(P164=0,0,O164/P164)</f>
        <v/>
      </c>
      <c r="R164" s="3" t="n"/>
      <c r="S164">
        <f>IF(H164="","",IF(P164&lt;0,"ERROR: Over-sold",IF(AND(H164&lt;0,K164=0),"ERROR: Sell w/o position","")))</f>
        <v/>
      </c>
    </row>
    <row r="165">
      <c r="A165" s="3" t="n"/>
      <c r="B165" s="3" t="n"/>
      <c r="C165" s="3" t="n"/>
      <c r="D165" s="3" t="n"/>
      <c r="E165" s="3" t="n"/>
      <c r="F165" s="3" t="n"/>
      <c r="G165" s="3" t="n"/>
      <c r="H165">
        <f>IF(OR(D165="",E165=""),"",IF(D165="BUY",E165,-E165))</f>
        <v/>
      </c>
      <c r="I165" s="4">
        <f>IF(H165="","",ABS(H165)*F165)</f>
        <v/>
      </c>
      <c r="J165" s="4">
        <f>IF(H165="","",-H165*F165-G165)</f>
        <v/>
      </c>
      <c r="K165" s="5">
        <f>IF(OR(B165="",C165=""),"",SUMIFS($H$4:H164,$B$4:B164,B165,$C$4:C164,C165))</f>
        <v/>
      </c>
      <c r="L165" s="4">
        <f>IF(OR(B165="",C165=""),"",IFERROR(LOOKUP(2,1/(($B$4:B164=B165)*($C$4:C164=C165)),$O$4:O164),0))</f>
        <v/>
      </c>
      <c r="M165" s="4">
        <f>IF(K165=0,0,L165/K165)</f>
        <v/>
      </c>
      <c r="N165" s="4">
        <f>IF(H165&lt;0,ABS(H165)*(F165-M165)-G165,0)</f>
        <v/>
      </c>
      <c r="O165" s="4">
        <f>IF(H165="","",IF(H165&gt;0,L165+I165+G165,MAX(0,L165-ABS(H165)*M165)))</f>
        <v/>
      </c>
      <c r="P165" s="5">
        <f>IF(H165="","",K165+H165)</f>
        <v/>
      </c>
      <c r="Q165" s="4">
        <f>IF(P165=0,0,O165/P165)</f>
        <v/>
      </c>
      <c r="R165" s="3" t="n"/>
      <c r="S165">
        <f>IF(H165="","",IF(P165&lt;0,"ERROR: Over-sold",IF(AND(H165&lt;0,K165=0),"ERROR: Sell w/o position","")))</f>
        <v/>
      </c>
    </row>
    <row r="166">
      <c r="A166" s="3" t="n"/>
      <c r="B166" s="3" t="n"/>
      <c r="C166" s="3" t="n"/>
      <c r="D166" s="3" t="n"/>
      <c r="E166" s="3" t="n"/>
      <c r="F166" s="3" t="n"/>
      <c r="G166" s="3" t="n"/>
      <c r="H166">
        <f>IF(OR(D166="",E166=""),"",IF(D166="BUY",E166,-E166))</f>
        <v/>
      </c>
      <c r="I166" s="4">
        <f>IF(H166="","",ABS(H166)*F166)</f>
        <v/>
      </c>
      <c r="J166" s="4">
        <f>IF(H166="","",-H166*F166-G166)</f>
        <v/>
      </c>
      <c r="K166" s="5">
        <f>IF(OR(B166="",C166=""),"",SUMIFS($H$4:H165,$B$4:B165,B166,$C$4:C165,C166))</f>
        <v/>
      </c>
      <c r="L166" s="4">
        <f>IF(OR(B166="",C166=""),"",IFERROR(LOOKUP(2,1/(($B$4:B165=B166)*($C$4:C165=C166)),$O$4:O165),0))</f>
        <v/>
      </c>
      <c r="M166" s="4">
        <f>IF(K166=0,0,L166/K166)</f>
        <v/>
      </c>
      <c r="N166" s="4">
        <f>IF(H166&lt;0,ABS(H166)*(F166-M166)-G166,0)</f>
        <v/>
      </c>
      <c r="O166" s="4">
        <f>IF(H166="","",IF(H166&gt;0,L166+I166+G166,MAX(0,L166-ABS(H166)*M166)))</f>
        <v/>
      </c>
      <c r="P166" s="5">
        <f>IF(H166="","",K166+H166)</f>
        <v/>
      </c>
      <c r="Q166" s="4">
        <f>IF(P166=0,0,O166/P166)</f>
        <v/>
      </c>
      <c r="R166" s="3" t="n"/>
      <c r="S166">
        <f>IF(H166="","",IF(P166&lt;0,"ERROR: Over-sold",IF(AND(H166&lt;0,K166=0),"ERROR: Sell w/o position","")))</f>
        <v/>
      </c>
    </row>
    <row r="167">
      <c r="A167" s="3" t="n"/>
      <c r="B167" s="3" t="n"/>
      <c r="C167" s="3" t="n"/>
      <c r="D167" s="3" t="n"/>
      <c r="E167" s="3" t="n"/>
      <c r="F167" s="3" t="n"/>
      <c r="G167" s="3" t="n"/>
      <c r="H167">
        <f>IF(OR(D167="",E167=""),"",IF(D167="BUY",E167,-E167))</f>
        <v/>
      </c>
      <c r="I167" s="4">
        <f>IF(H167="","",ABS(H167)*F167)</f>
        <v/>
      </c>
      <c r="J167" s="4">
        <f>IF(H167="","",-H167*F167-G167)</f>
        <v/>
      </c>
      <c r="K167" s="5">
        <f>IF(OR(B167="",C167=""),"",SUMIFS($H$4:H166,$B$4:B166,B167,$C$4:C166,C167))</f>
        <v/>
      </c>
      <c r="L167" s="4">
        <f>IF(OR(B167="",C167=""),"",IFERROR(LOOKUP(2,1/(($B$4:B166=B167)*($C$4:C166=C167)),$O$4:O166),0))</f>
        <v/>
      </c>
      <c r="M167" s="4">
        <f>IF(K167=0,0,L167/K167)</f>
        <v/>
      </c>
      <c r="N167" s="4">
        <f>IF(H167&lt;0,ABS(H167)*(F167-M167)-G167,0)</f>
        <v/>
      </c>
      <c r="O167" s="4">
        <f>IF(H167="","",IF(H167&gt;0,L167+I167+G167,MAX(0,L167-ABS(H167)*M167)))</f>
        <v/>
      </c>
      <c r="P167" s="5">
        <f>IF(H167="","",K167+H167)</f>
        <v/>
      </c>
      <c r="Q167" s="4">
        <f>IF(P167=0,0,O167/P167)</f>
        <v/>
      </c>
      <c r="R167" s="3" t="n"/>
      <c r="S167">
        <f>IF(H167="","",IF(P167&lt;0,"ERROR: Over-sold",IF(AND(H167&lt;0,K167=0),"ERROR: Sell w/o position","")))</f>
        <v/>
      </c>
    </row>
    <row r="168">
      <c r="A168" s="3" t="n"/>
      <c r="B168" s="3" t="n"/>
      <c r="C168" s="3" t="n"/>
      <c r="D168" s="3" t="n"/>
      <c r="E168" s="3" t="n"/>
      <c r="F168" s="3" t="n"/>
      <c r="G168" s="3" t="n"/>
      <c r="H168">
        <f>IF(OR(D168="",E168=""),"",IF(D168="BUY",E168,-E168))</f>
        <v/>
      </c>
      <c r="I168" s="4">
        <f>IF(H168="","",ABS(H168)*F168)</f>
        <v/>
      </c>
      <c r="J168" s="4">
        <f>IF(H168="","",-H168*F168-G168)</f>
        <v/>
      </c>
      <c r="K168" s="5">
        <f>IF(OR(B168="",C168=""),"",SUMIFS($H$4:H167,$B$4:B167,B168,$C$4:C167,C168))</f>
        <v/>
      </c>
      <c r="L168" s="4">
        <f>IF(OR(B168="",C168=""),"",IFERROR(LOOKUP(2,1/(($B$4:B167=B168)*($C$4:C167=C168)),$O$4:O167),0))</f>
        <v/>
      </c>
      <c r="M168" s="4">
        <f>IF(K168=0,0,L168/K168)</f>
        <v/>
      </c>
      <c r="N168" s="4">
        <f>IF(H168&lt;0,ABS(H168)*(F168-M168)-G168,0)</f>
        <v/>
      </c>
      <c r="O168" s="4">
        <f>IF(H168="","",IF(H168&gt;0,L168+I168+G168,MAX(0,L168-ABS(H168)*M168)))</f>
        <v/>
      </c>
      <c r="P168" s="5">
        <f>IF(H168="","",K168+H168)</f>
        <v/>
      </c>
      <c r="Q168" s="4">
        <f>IF(P168=0,0,O168/P168)</f>
        <v/>
      </c>
      <c r="R168" s="3" t="n"/>
      <c r="S168">
        <f>IF(H168="","",IF(P168&lt;0,"ERROR: Over-sold",IF(AND(H168&lt;0,K168=0),"ERROR: Sell w/o position","")))</f>
        <v/>
      </c>
    </row>
    <row r="169">
      <c r="A169" s="3" t="n"/>
      <c r="B169" s="3" t="n"/>
      <c r="C169" s="3" t="n"/>
      <c r="D169" s="3" t="n"/>
      <c r="E169" s="3" t="n"/>
      <c r="F169" s="3" t="n"/>
      <c r="G169" s="3" t="n"/>
      <c r="H169">
        <f>IF(OR(D169="",E169=""),"",IF(D169="BUY",E169,-E169))</f>
        <v/>
      </c>
      <c r="I169" s="4">
        <f>IF(H169="","",ABS(H169)*F169)</f>
        <v/>
      </c>
      <c r="J169" s="4">
        <f>IF(H169="","",-H169*F169-G169)</f>
        <v/>
      </c>
      <c r="K169" s="5">
        <f>IF(OR(B169="",C169=""),"",SUMIFS($H$4:H168,$B$4:B168,B169,$C$4:C168,C169))</f>
        <v/>
      </c>
      <c r="L169" s="4">
        <f>IF(OR(B169="",C169=""),"",IFERROR(LOOKUP(2,1/(($B$4:B168=B169)*($C$4:C168=C169)),$O$4:O168),0))</f>
        <v/>
      </c>
      <c r="M169" s="4">
        <f>IF(K169=0,0,L169/K169)</f>
        <v/>
      </c>
      <c r="N169" s="4">
        <f>IF(H169&lt;0,ABS(H169)*(F169-M169)-G169,0)</f>
        <v/>
      </c>
      <c r="O169" s="4">
        <f>IF(H169="","",IF(H169&gt;0,L169+I169+G169,MAX(0,L169-ABS(H169)*M169)))</f>
        <v/>
      </c>
      <c r="P169" s="5">
        <f>IF(H169="","",K169+H169)</f>
        <v/>
      </c>
      <c r="Q169" s="4">
        <f>IF(P169=0,0,O169/P169)</f>
        <v/>
      </c>
      <c r="R169" s="3" t="n"/>
      <c r="S169">
        <f>IF(H169="","",IF(P169&lt;0,"ERROR: Over-sold",IF(AND(H169&lt;0,K169=0),"ERROR: Sell w/o position","")))</f>
        <v/>
      </c>
    </row>
    <row r="170">
      <c r="A170" s="3" t="n"/>
      <c r="B170" s="3" t="n"/>
      <c r="C170" s="3" t="n"/>
      <c r="D170" s="3" t="n"/>
      <c r="E170" s="3" t="n"/>
      <c r="F170" s="3" t="n"/>
      <c r="G170" s="3" t="n"/>
      <c r="H170">
        <f>IF(OR(D170="",E170=""),"",IF(D170="BUY",E170,-E170))</f>
        <v/>
      </c>
      <c r="I170" s="4">
        <f>IF(H170="","",ABS(H170)*F170)</f>
        <v/>
      </c>
      <c r="J170" s="4">
        <f>IF(H170="","",-H170*F170-G170)</f>
        <v/>
      </c>
      <c r="K170" s="5">
        <f>IF(OR(B170="",C170=""),"",SUMIFS($H$4:H169,$B$4:B169,B170,$C$4:C169,C170))</f>
        <v/>
      </c>
      <c r="L170" s="4">
        <f>IF(OR(B170="",C170=""),"",IFERROR(LOOKUP(2,1/(($B$4:B169=B170)*($C$4:C169=C170)),$O$4:O169),0))</f>
        <v/>
      </c>
      <c r="M170" s="4">
        <f>IF(K170=0,0,L170/K170)</f>
        <v/>
      </c>
      <c r="N170" s="4">
        <f>IF(H170&lt;0,ABS(H170)*(F170-M170)-G170,0)</f>
        <v/>
      </c>
      <c r="O170" s="4">
        <f>IF(H170="","",IF(H170&gt;0,L170+I170+G170,MAX(0,L170-ABS(H170)*M170)))</f>
        <v/>
      </c>
      <c r="P170" s="5">
        <f>IF(H170="","",K170+H170)</f>
        <v/>
      </c>
      <c r="Q170" s="4">
        <f>IF(P170=0,0,O170/P170)</f>
        <v/>
      </c>
      <c r="R170" s="3" t="n"/>
      <c r="S170">
        <f>IF(H170="","",IF(P170&lt;0,"ERROR: Over-sold",IF(AND(H170&lt;0,K170=0),"ERROR: Sell w/o position","")))</f>
        <v/>
      </c>
    </row>
    <row r="171">
      <c r="A171" s="3" t="n"/>
      <c r="B171" s="3" t="n"/>
      <c r="C171" s="3" t="n"/>
      <c r="D171" s="3" t="n"/>
      <c r="E171" s="3" t="n"/>
      <c r="F171" s="3" t="n"/>
      <c r="G171" s="3" t="n"/>
      <c r="H171">
        <f>IF(OR(D171="",E171=""),"",IF(D171="BUY",E171,-E171))</f>
        <v/>
      </c>
      <c r="I171" s="4">
        <f>IF(H171="","",ABS(H171)*F171)</f>
        <v/>
      </c>
      <c r="J171" s="4">
        <f>IF(H171="","",-H171*F171-G171)</f>
        <v/>
      </c>
      <c r="K171" s="5">
        <f>IF(OR(B171="",C171=""),"",SUMIFS($H$4:H170,$B$4:B170,B171,$C$4:C170,C171))</f>
        <v/>
      </c>
      <c r="L171" s="4">
        <f>IF(OR(B171="",C171=""),"",IFERROR(LOOKUP(2,1/(($B$4:B170=B171)*($C$4:C170=C171)),$O$4:O170),0))</f>
        <v/>
      </c>
      <c r="M171" s="4">
        <f>IF(K171=0,0,L171/K171)</f>
        <v/>
      </c>
      <c r="N171" s="4">
        <f>IF(H171&lt;0,ABS(H171)*(F171-M171)-G171,0)</f>
        <v/>
      </c>
      <c r="O171" s="4">
        <f>IF(H171="","",IF(H171&gt;0,L171+I171+G171,MAX(0,L171-ABS(H171)*M171)))</f>
        <v/>
      </c>
      <c r="P171" s="5">
        <f>IF(H171="","",K171+H171)</f>
        <v/>
      </c>
      <c r="Q171" s="4">
        <f>IF(P171=0,0,O171/P171)</f>
        <v/>
      </c>
      <c r="R171" s="3" t="n"/>
      <c r="S171">
        <f>IF(H171="","",IF(P171&lt;0,"ERROR: Over-sold",IF(AND(H171&lt;0,K171=0),"ERROR: Sell w/o position","")))</f>
        <v/>
      </c>
    </row>
    <row r="172">
      <c r="A172" s="3" t="n"/>
      <c r="B172" s="3" t="n"/>
      <c r="C172" s="3" t="n"/>
      <c r="D172" s="3" t="n"/>
      <c r="E172" s="3" t="n"/>
      <c r="F172" s="3" t="n"/>
      <c r="G172" s="3" t="n"/>
      <c r="H172">
        <f>IF(OR(D172="",E172=""),"",IF(D172="BUY",E172,-E172))</f>
        <v/>
      </c>
      <c r="I172" s="4">
        <f>IF(H172="","",ABS(H172)*F172)</f>
        <v/>
      </c>
      <c r="J172" s="4">
        <f>IF(H172="","",-H172*F172-G172)</f>
        <v/>
      </c>
      <c r="K172" s="5">
        <f>IF(OR(B172="",C172=""),"",SUMIFS($H$4:H171,$B$4:B171,B172,$C$4:C171,C172))</f>
        <v/>
      </c>
      <c r="L172" s="4">
        <f>IF(OR(B172="",C172=""),"",IFERROR(LOOKUP(2,1/(($B$4:B171=B172)*($C$4:C171=C172)),$O$4:O171),0))</f>
        <v/>
      </c>
      <c r="M172" s="4">
        <f>IF(K172=0,0,L172/K172)</f>
        <v/>
      </c>
      <c r="N172" s="4">
        <f>IF(H172&lt;0,ABS(H172)*(F172-M172)-G172,0)</f>
        <v/>
      </c>
      <c r="O172" s="4">
        <f>IF(H172="","",IF(H172&gt;0,L172+I172+G172,MAX(0,L172-ABS(H172)*M172)))</f>
        <v/>
      </c>
      <c r="P172" s="5">
        <f>IF(H172="","",K172+H172)</f>
        <v/>
      </c>
      <c r="Q172" s="4">
        <f>IF(P172=0,0,O172/P172)</f>
        <v/>
      </c>
      <c r="R172" s="3" t="n"/>
      <c r="S172">
        <f>IF(H172="","",IF(P172&lt;0,"ERROR: Over-sold",IF(AND(H172&lt;0,K172=0),"ERROR: Sell w/o position","")))</f>
        <v/>
      </c>
    </row>
    <row r="173">
      <c r="A173" s="3" t="n"/>
      <c r="B173" s="3" t="n"/>
      <c r="C173" s="3" t="n"/>
      <c r="D173" s="3" t="n"/>
      <c r="E173" s="3" t="n"/>
      <c r="F173" s="3" t="n"/>
      <c r="G173" s="3" t="n"/>
      <c r="H173">
        <f>IF(OR(D173="",E173=""),"",IF(D173="BUY",E173,-E173))</f>
        <v/>
      </c>
      <c r="I173" s="4">
        <f>IF(H173="","",ABS(H173)*F173)</f>
        <v/>
      </c>
      <c r="J173" s="4">
        <f>IF(H173="","",-H173*F173-G173)</f>
        <v/>
      </c>
      <c r="K173" s="5">
        <f>IF(OR(B173="",C173=""),"",SUMIFS($H$4:H172,$B$4:B172,B173,$C$4:C172,C173))</f>
        <v/>
      </c>
      <c r="L173" s="4">
        <f>IF(OR(B173="",C173=""),"",IFERROR(LOOKUP(2,1/(($B$4:B172=B173)*($C$4:C172=C173)),$O$4:O172),0))</f>
        <v/>
      </c>
      <c r="M173" s="4">
        <f>IF(K173=0,0,L173/K173)</f>
        <v/>
      </c>
      <c r="N173" s="4">
        <f>IF(H173&lt;0,ABS(H173)*(F173-M173)-G173,0)</f>
        <v/>
      </c>
      <c r="O173" s="4">
        <f>IF(H173="","",IF(H173&gt;0,L173+I173+G173,MAX(0,L173-ABS(H173)*M173)))</f>
        <v/>
      </c>
      <c r="P173" s="5">
        <f>IF(H173="","",K173+H173)</f>
        <v/>
      </c>
      <c r="Q173" s="4">
        <f>IF(P173=0,0,O173/P173)</f>
        <v/>
      </c>
      <c r="R173" s="3" t="n"/>
      <c r="S173">
        <f>IF(H173="","",IF(P173&lt;0,"ERROR: Over-sold",IF(AND(H173&lt;0,K173=0),"ERROR: Sell w/o position","")))</f>
        <v/>
      </c>
    </row>
    <row r="174">
      <c r="A174" s="3" t="n"/>
      <c r="B174" s="3" t="n"/>
      <c r="C174" s="3" t="n"/>
      <c r="D174" s="3" t="n"/>
      <c r="E174" s="3" t="n"/>
      <c r="F174" s="3" t="n"/>
      <c r="G174" s="3" t="n"/>
      <c r="H174">
        <f>IF(OR(D174="",E174=""),"",IF(D174="BUY",E174,-E174))</f>
        <v/>
      </c>
      <c r="I174" s="4">
        <f>IF(H174="","",ABS(H174)*F174)</f>
        <v/>
      </c>
      <c r="J174" s="4">
        <f>IF(H174="","",-H174*F174-G174)</f>
        <v/>
      </c>
      <c r="K174" s="5">
        <f>IF(OR(B174="",C174=""),"",SUMIFS($H$4:H173,$B$4:B173,B174,$C$4:C173,C174))</f>
        <v/>
      </c>
      <c r="L174" s="4">
        <f>IF(OR(B174="",C174=""),"",IFERROR(LOOKUP(2,1/(($B$4:B173=B174)*($C$4:C173=C174)),$O$4:O173),0))</f>
        <v/>
      </c>
      <c r="M174" s="4">
        <f>IF(K174=0,0,L174/K174)</f>
        <v/>
      </c>
      <c r="N174" s="4">
        <f>IF(H174&lt;0,ABS(H174)*(F174-M174)-G174,0)</f>
        <v/>
      </c>
      <c r="O174" s="4">
        <f>IF(H174="","",IF(H174&gt;0,L174+I174+G174,MAX(0,L174-ABS(H174)*M174)))</f>
        <v/>
      </c>
      <c r="P174" s="5">
        <f>IF(H174="","",K174+H174)</f>
        <v/>
      </c>
      <c r="Q174" s="4">
        <f>IF(P174=0,0,O174/P174)</f>
        <v/>
      </c>
      <c r="R174" s="3" t="n"/>
      <c r="S174">
        <f>IF(H174="","",IF(P174&lt;0,"ERROR: Over-sold",IF(AND(H174&lt;0,K174=0),"ERROR: Sell w/o position","")))</f>
        <v/>
      </c>
    </row>
    <row r="175">
      <c r="A175" s="3" t="n"/>
      <c r="B175" s="3" t="n"/>
      <c r="C175" s="3" t="n"/>
      <c r="D175" s="3" t="n"/>
      <c r="E175" s="3" t="n"/>
      <c r="F175" s="3" t="n"/>
      <c r="G175" s="3" t="n"/>
      <c r="H175">
        <f>IF(OR(D175="",E175=""),"",IF(D175="BUY",E175,-E175))</f>
        <v/>
      </c>
      <c r="I175" s="4">
        <f>IF(H175="","",ABS(H175)*F175)</f>
        <v/>
      </c>
      <c r="J175" s="4">
        <f>IF(H175="","",-H175*F175-G175)</f>
        <v/>
      </c>
      <c r="K175" s="5">
        <f>IF(OR(B175="",C175=""),"",SUMIFS($H$4:H174,$B$4:B174,B175,$C$4:C174,C175))</f>
        <v/>
      </c>
      <c r="L175" s="4">
        <f>IF(OR(B175="",C175=""),"",IFERROR(LOOKUP(2,1/(($B$4:B174=B175)*($C$4:C174=C175)),$O$4:O174),0))</f>
        <v/>
      </c>
      <c r="M175" s="4">
        <f>IF(K175=0,0,L175/K175)</f>
        <v/>
      </c>
      <c r="N175" s="4">
        <f>IF(H175&lt;0,ABS(H175)*(F175-M175)-G175,0)</f>
        <v/>
      </c>
      <c r="O175" s="4">
        <f>IF(H175="","",IF(H175&gt;0,L175+I175+G175,MAX(0,L175-ABS(H175)*M175)))</f>
        <v/>
      </c>
      <c r="P175" s="5">
        <f>IF(H175="","",K175+H175)</f>
        <v/>
      </c>
      <c r="Q175" s="4">
        <f>IF(P175=0,0,O175/P175)</f>
        <v/>
      </c>
      <c r="R175" s="3" t="n"/>
      <c r="S175">
        <f>IF(H175="","",IF(P175&lt;0,"ERROR: Over-sold",IF(AND(H175&lt;0,K175=0),"ERROR: Sell w/o position","")))</f>
        <v/>
      </c>
    </row>
    <row r="176">
      <c r="A176" s="3" t="n"/>
      <c r="B176" s="3" t="n"/>
      <c r="C176" s="3" t="n"/>
      <c r="D176" s="3" t="n"/>
      <c r="E176" s="3" t="n"/>
      <c r="F176" s="3" t="n"/>
      <c r="G176" s="3" t="n"/>
      <c r="H176">
        <f>IF(OR(D176="",E176=""),"",IF(D176="BUY",E176,-E176))</f>
        <v/>
      </c>
      <c r="I176" s="4">
        <f>IF(H176="","",ABS(H176)*F176)</f>
        <v/>
      </c>
      <c r="J176" s="4">
        <f>IF(H176="","",-H176*F176-G176)</f>
        <v/>
      </c>
      <c r="K176" s="5">
        <f>IF(OR(B176="",C176=""),"",SUMIFS($H$4:H175,$B$4:B175,B176,$C$4:C175,C176))</f>
        <v/>
      </c>
      <c r="L176" s="4">
        <f>IF(OR(B176="",C176=""),"",IFERROR(LOOKUP(2,1/(($B$4:B175=B176)*($C$4:C175=C176)),$O$4:O175),0))</f>
        <v/>
      </c>
      <c r="M176" s="4">
        <f>IF(K176=0,0,L176/K176)</f>
        <v/>
      </c>
      <c r="N176" s="4">
        <f>IF(H176&lt;0,ABS(H176)*(F176-M176)-G176,0)</f>
        <v/>
      </c>
      <c r="O176" s="4">
        <f>IF(H176="","",IF(H176&gt;0,L176+I176+G176,MAX(0,L176-ABS(H176)*M176)))</f>
        <v/>
      </c>
      <c r="P176" s="5">
        <f>IF(H176="","",K176+H176)</f>
        <v/>
      </c>
      <c r="Q176" s="4">
        <f>IF(P176=0,0,O176/P176)</f>
        <v/>
      </c>
      <c r="R176" s="3" t="n"/>
      <c r="S176">
        <f>IF(H176="","",IF(P176&lt;0,"ERROR: Over-sold",IF(AND(H176&lt;0,K176=0),"ERROR: Sell w/o position","")))</f>
        <v/>
      </c>
    </row>
    <row r="177">
      <c r="A177" s="3" t="n"/>
      <c r="B177" s="3" t="n"/>
      <c r="C177" s="3" t="n"/>
      <c r="D177" s="3" t="n"/>
      <c r="E177" s="3" t="n"/>
      <c r="F177" s="3" t="n"/>
      <c r="G177" s="3" t="n"/>
      <c r="H177">
        <f>IF(OR(D177="",E177=""),"",IF(D177="BUY",E177,-E177))</f>
        <v/>
      </c>
      <c r="I177" s="4">
        <f>IF(H177="","",ABS(H177)*F177)</f>
        <v/>
      </c>
      <c r="J177" s="4">
        <f>IF(H177="","",-H177*F177-G177)</f>
        <v/>
      </c>
      <c r="K177" s="5">
        <f>IF(OR(B177="",C177=""),"",SUMIFS($H$4:H176,$B$4:B176,B177,$C$4:C176,C177))</f>
        <v/>
      </c>
      <c r="L177" s="4">
        <f>IF(OR(B177="",C177=""),"",IFERROR(LOOKUP(2,1/(($B$4:B176=B177)*($C$4:C176=C177)),$O$4:O176),0))</f>
        <v/>
      </c>
      <c r="M177" s="4">
        <f>IF(K177=0,0,L177/K177)</f>
        <v/>
      </c>
      <c r="N177" s="4">
        <f>IF(H177&lt;0,ABS(H177)*(F177-M177)-G177,0)</f>
        <v/>
      </c>
      <c r="O177" s="4">
        <f>IF(H177="","",IF(H177&gt;0,L177+I177+G177,MAX(0,L177-ABS(H177)*M177)))</f>
        <v/>
      </c>
      <c r="P177" s="5">
        <f>IF(H177="","",K177+H177)</f>
        <v/>
      </c>
      <c r="Q177" s="4">
        <f>IF(P177=0,0,O177/P177)</f>
        <v/>
      </c>
      <c r="R177" s="3" t="n"/>
      <c r="S177">
        <f>IF(H177="","",IF(P177&lt;0,"ERROR: Over-sold",IF(AND(H177&lt;0,K177=0),"ERROR: Sell w/o position","")))</f>
        <v/>
      </c>
    </row>
    <row r="178">
      <c r="A178" s="3" t="n"/>
      <c r="B178" s="3" t="n"/>
      <c r="C178" s="3" t="n"/>
      <c r="D178" s="3" t="n"/>
      <c r="E178" s="3" t="n"/>
      <c r="F178" s="3" t="n"/>
      <c r="G178" s="3" t="n"/>
      <c r="H178">
        <f>IF(OR(D178="",E178=""),"",IF(D178="BUY",E178,-E178))</f>
        <v/>
      </c>
      <c r="I178" s="4">
        <f>IF(H178="","",ABS(H178)*F178)</f>
        <v/>
      </c>
      <c r="J178" s="4">
        <f>IF(H178="","",-H178*F178-G178)</f>
        <v/>
      </c>
      <c r="K178" s="5">
        <f>IF(OR(B178="",C178=""),"",SUMIFS($H$4:H177,$B$4:B177,B178,$C$4:C177,C178))</f>
        <v/>
      </c>
      <c r="L178" s="4">
        <f>IF(OR(B178="",C178=""),"",IFERROR(LOOKUP(2,1/(($B$4:B177=B178)*($C$4:C177=C178)),$O$4:O177),0))</f>
        <v/>
      </c>
      <c r="M178" s="4">
        <f>IF(K178=0,0,L178/K178)</f>
        <v/>
      </c>
      <c r="N178" s="4">
        <f>IF(H178&lt;0,ABS(H178)*(F178-M178)-G178,0)</f>
        <v/>
      </c>
      <c r="O178" s="4">
        <f>IF(H178="","",IF(H178&gt;0,L178+I178+G178,MAX(0,L178-ABS(H178)*M178)))</f>
        <v/>
      </c>
      <c r="P178" s="5">
        <f>IF(H178="","",K178+H178)</f>
        <v/>
      </c>
      <c r="Q178" s="4">
        <f>IF(P178=0,0,O178/P178)</f>
        <v/>
      </c>
      <c r="R178" s="3" t="n"/>
      <c r="S178">
        <f>IF(H178="","",IF(P178&lt;0,"ERROR: Over-sold",IF(AND(H178&lt;0,K178=0),"ERROR: Sell w/o position","")))</f>
        <v/>
      </c>
    </row>
    <row r="179">
      <c r="A179" s="3" t="n"/>
      <c r="B179" s="3" t="n"/>
      <c r="C179" s="3" t="n"/>
      <c r="D179" s="3" t="n"/>
      <c r="E179" s="3" t="n"/>
      <c r="F179" s="3" t="n"/>
      <c r="G179" s="3" t="n"/>
      <c r="H179">
        <f>IF(OR(D179="",E179=""),"",IF(D179="BUY",E179,-E179))</f>
        <v/>
      </c>
      <c r="I179" s="4">
        <f>IF(H179="","",ABS(H179)*F179)</f>
        <v/>
      </c>
      <c r="J179" s="4">
        <f>IF(H179="","",-H179*F179-G179)</f>
        <v/>
      </c>
      <c r="K179" s="5">
        <f>IF(OR(B179="",C179=""),"",SUMIFS($H$4:H178,$B$4:B178,B179,$C$4:C178,C179))</f>
        <v/>
      </c>
      <c r="L179" s="4">
        <f>IF(OR(B179="",C179=""),"",IFERROR(LOOKUP(2,1/(($B$4:B178=B179)*($C$4:C178=C179)),$O$4:O178),0))</f>
        <v/>
      </c>
      <c r="M179" s="4">
        <f>IF(K179=0,0,L179/K179)</f>
        <v/>
      </c>
      <c r="N179" s="4">
        <f>IF(H179&lt;0,ABS(H179)*(F179-M179)-G179,0)</f>
        <v/>
      </c>
      <c r="O179" s="4">
        <f>IF(H179="","",IF(H179&gt;0,L179+I179+G179,MAX(0,L179-ABS(H179)*M179)))</f>
        <v/>
      </c>
      <c r="P179" s="5">
        <f>IF(H179="","",K179+H179)</f>
        <v/>
      </c>
      <c r="Q179" s="4">
        <f>IF(P179=0,0,O179/P179)</f>
        <v/>
      </c>
      <c r="R179" s="3" t="n"/>
      <c r="S179">
        <f>IF(H179="","",IF(P179&lt;0,"ERROR: Over-sold",IF(AND(H179&lt;0,K179=0),"ERROR: Sell w/o position","")))</f>
        <v/>
      </c>
    </row>
    <row r="180">
      <c r="A180" s="3" t="n"/>
      <c r="B180" s="3" t="n"/>
      <c r="C180" s="3" t="n"/>
      <c r="D180" s="3" t="n"/>
      <c r="E180" s="3" t="n"/>
      <c r="F180" s="3" t="n"/>
      <c r="G180" s="3" t="n"/>
      <c r="H180">
        <f>IF(OR(D180="",E180=""),"",IF(D180="BUY",E180,-E180))</f>
        <v/>
      </c>
      <c r="I180" s="4">
        <f>IF(H180="","",ABS(H180)*F180)</f>
        <v/>
      </c>
      <c r="J180" s="4">
        <f>IF(H180="","",-H180*F180-G180)</f>
        <v/>
      </c>
      <c r="K180" s="5">
        <f>IF(OR(B180="",C180=""),"",SUMIFS($H$4:H179,$B$4:B179,B180,$C$4:C179,C180))</f>
        <v/>
      </c>
      <c r="L180" s="4">
        <f>IF(OR(B180="",C180=""),"",IFERROR(LOOKUP(2,1/(($B$4:B179=B180)*($C$4:C179=C180)),$O$4:O179),0))</f>
        <v/>
      </c>
      <c r="M180" s="4">
        <f>IF(K180=0,0,L180/K180)</f>
        <v/>
      </c>
      <c r="N180" s="4">
        <f>IF(H180&lt;0,ABS(H180)*(F180-M180)-G180,0)</f>
        <v/>
      </c>
      <c r="O180" s="4">
        <f>IF(H180="","",IF(H180&gt;0,L180+I180+G180,MAX(0,L180-ABS(H180)*M180)))</f>
        <v/>
      </c>
      <c r="P180" s="5">
        <f>IF(H180="","",K180+H180)</f>
        <v/>
      </c>
      <c r="Q180" s="4">
        <f>IF(P180=0,0,O180/P180)</f>
        <v/>
      </c>
      <c r="R180" s="3" t="n"/>
      <c r="S180">
        <f>IF(H180="","",IF(P180&lt;0,"ERROR: Over-sold",IF(AND(H180&lt;0,K180=0),"ERROR: Sell w/o position","")))</f>
        <v/>
      </c>
    </row>
    <row r="181">
      <c r="A181" s="3" t="n"/>
      <c r="B181" s="3" t="n"/>
      <c r="C181" s="3" t="n"/>
      <c r="D181" s="3" t="n"/>
      <c r="E181" s="3" t="n"/>
      <c r="F181" s="3" t="n"/>
      <c r="G181" s="3" t="n"/>
      <c r="H181">
        <f>IF(OR(D181="",E181=""),"",IF(D181="BUY",E181,-E181))</f>
        <v/>
      </c>
      <c r="I181" s="4">
        <f>IF(H181="","",ABS(H181)*F181)</f>
        <v/>
      </c>
      <c r="J181" s="4">
        <f>IF(H181="","",-H181*F181-G181)</f>
        <v/>
      </c>
      <c r="K181" s="5">
        <f>IF(OR(B181="",C181=""),"",SUMIFS($H$4:H180,$B$4:B180,B181,$C$4:C180,C181))</f>
        <v/>
      </c>
      <c r="L181" s="4">
        <f>IF(OR(B181="",C181=""),"",IFERROR(LOOKUP(2,1/(($B$4:B180=B181)*($C$4:C180=C181)),$O$4:O180),0))</f>
        <v/>
      </c>
      <c r="M181" s="4">
        <f>IF(K181=0,0,L181/K181)</f>
        <v/>
      </c>
      <c r="N181" s="4">
        <f>IF(H181&lt;0,ABS(H181)*(F181-M181)-G181,0)</f>
        <v/>
      </c>
      <c r="O181" s="4">
        <f>IF(H181="","",IF(H181&gt;0,L181+I181+G181,MAX(0,L181-ABS(H181)*M181)))</f>
        <v/>
      </c>
      <c r="P181" s="5">
        <f>IF(H181="","",K181+H181)</f>
        <v/>
      </c>
      <c r="Q181" s="4">
        <f>IF(P181=0,0,O181/P181)</f>
        <v/>
      </c>
      <c r="R181" s="3" t="n"/>
      <c r="S181">
        <f>IF(H181="","",IF(P181&lt;0,"ERROR: Over-sold",IF(AND(H181&lt;0,K181=0),"ERROR: Sell w/o position","")))</f>
        <v/>
      </c>
    </row>
    <row r="182">
      <c r="A182" s="3" t="n"/>
      <c r="B182" s="3" t="n"/>
      <c r="C182" s="3" t="n"/>
      <c r="D182" s="3" t="n"/>
      <c r="E182" s="3" t="n"/>
      <c r="F182" s="3" t="n"/>
      <c r="G182" s="3" t="n"/>
      <c r="H182">
        <f>IF(OR(D182="",E182=""),"",IF(D182="BUY",E182,-E182))</f>
        <v/>
      </c>
      <c r="I182" s="4">
        <f>IF(H182="","",ABS(H182)*F182)</f>
        <v/>
      </c>
      <c r="J182" s="4">
        <f>IF(H182="","",-H182*F182-G182)</f>
        <v/>
      </c>
      <c r="K182" s="5">
        <f>IF(OR(B182="",C182=""),"",SUMIFS($H$4:H181,$B$4:B181,B182,$C$4:C181,C182))</f>
        <v/>
      </c>
      <c r="L182" s="4">
        <f>IF(OR(B182="",C182=""),"",IFERROR(LOOKUP(2,1/(($B$4:B181=B182)*($C$4:C181=C182)),$O$4:O181),0))</f>
        <v/>
      </c>
      <c r="M182" s="4">
        <f>IF(K182=0,0,L182/K182)</f>
        <v/>
      </c>
      <c r="N182" s="4">
        <f>IF(H182&lt;0,ABS(H182)*(F182-M182)-G182,0)</f>
        <v/>
      </c>
      <c r="O182" s="4">
        <f>IF(H182="","",IF(H182&gt;0,L182+I182+G182,MAX(0,L182-ABS(H182)*M182)))</f>
        <v/>
      </c>
      <c r="P182" s="5">
        <f>IF(H182="","",K182+H182)</f>
        <v/>
      </c>
      <c r="Q182" s="4">
        <f>IF(P182=0,0,O182/P182)</f>
        <v/>
      </c>
      <c r="R182" s="3" t="n"/>
      <c r="S182">
        <f>IF(H182="","",IF(P182&lt;0,"ERROR: Over-sold",IF(AND(H182&lt;0,K182=0),"ERROR: Sell w/o position","")))</f>
        <v/>
      </c>
    </row>
    <row r="183">
      <c r="A183" s="3" t="n"/>
      <c r="B183" s="3" t="n"/>
      <c r="C183" s="3" t="n"/>
      <c r="D183" s="3" t="n"/>
      <c r="E183" s="3" t="n"/>
      <c r="F183" s="3" t="n"/>
      <c r="G183" s="3" t="n"/>
      <c r="H183">
        <f>IF(OR(D183="",E183=""),"",IF(D183="BUY",E183,-E183))</f>
        <v/>
      </c>
      <c r="I183" s="4">
        <f>IF(H183="","",ABS(H183)*F183)</f>
        <v/>
      </c>
      <c r="J183" s="4">
        <f>IF(H183="","",-H183*F183-G183)</f>
        <v/>
      </c>
      <c r="K183" s="5">
        <f>IF(OR(B183="",C183=""),"",SUMIFS($H$4:H182,$B$4:B182,B183,$C$4:C182,C183))</f>
        <v/>
      </c>
      <c r="L183" s="4">
        <f>IF(OR(B183="",C183=""),"",IFERROR(LOOKUP(2,1/(($B$4:B182=B183)*($C$4:C182=C183)),$O$4:O182),0))</f>
        <v/>
      </c>
      <c r="M183" s="4">
        <f>IF(K183=0,0,L183/K183)</f>
        <v/>
      </c>
      <c r="N183" s="4">
        <f>IF(H183&lt;0,ABS(H183)*(F183-M183)-G183,0)</f>
        <v/>
      </c>
      <c r="O183" s="4">
        <f>IF(H183="","",IF(H183&gt;0,L183+I183+G183,MAX(0,L183-ABS(H183)*M183)))</f>
        <v/>
      </c>
      <c r="P183" s="5">
        <f>IF(H183="","",K183+H183)</f>
        <v/>
      </c>
      <c r="Q183" s="4">
        <f>IF(P183=0,0,O183/P183)</f>
        <v/>
      </c>
      <c r="R183" s="3" t="n"/>
      <c r="S183">
        <f>IF(H183="","",IF(P183&lt;0,"ERROR: Over-sold",IF(AND(H183&lt;0,K183=0),"ERROR: Sell w/o position","")))</f>
        <v/>
      </c>
    </row>
    <row r="184">
      <c r="A184" s="3" t="n"/>
      <c r="B184" s="3" t="n"/>
      <c r="C184" s="3" t="n"/>
      <c r="D184" s="3" t="n"/>
      <c r="E184" s="3" t="n"/>
      <c r="F184" s="3" t="n"/>
      <c r="G184" s="3" t="n"/>
      <c r="H184">
        <f>IF(OR(D184="",E184=""),"",IF(D184="BUY",E184,-E184))</f>
        <v/>
      </c>
      <c r="I184" s="4">
        <f>IF(H184="","",ABS(H184)*F184)</f>
        <v/>
      </c>
      <c r="J184" s="4">
        <f>IF(H184="","",-H184*F184-G184)</f>
        <v/>
      </c>
      <c r="K184" s="5">
        <f>IF(OR(B184="",C184=""),"",SUMIFS($H$4:H183,$B$4:B183,B184,$C$4:C183,C184))</f>
        <v/>
      </c>
      <c r="L184" s="4">
        <f>IF(OR(B184="",C184=""),"",IFERROR(LOOKUP(2,1/(($B$4:B183=B184)*($C$4:C183=C184)),$O$4:O183),0))</f>
        <v/>
      </c>
      <c r="M184" s="4">
        <f>IF(K184=0,0,L184/K184)</f>
        <v/>
      </c>
      <c r="N184" s="4">
        <f>IF(H184&lt;0,ABS(H184)*(F184-M184)-G184,0)</f>
        <v/>
      </c>
      <c r="O184" s="4">
        <f>IF(H184="","",IF(H184&gt;0,L184+I184+G184,MAX(0,L184-ABS(H184)*M184)))</f>
        <v/>
      </c>
      <c r="P184" s="5">
        <f>IF(H184="","",K184+H184)</f>
        <v/>
      </c>
      <c r="Q184" s="4">
        <f>IF(P184=0,0,O184/P184)</f>
        <v/>
      </c>
      <c r="R184" s="3" t="n"/>
      <c r="S184">
        <f>IF(H184="","",IF(P184&lt;0,"ERROR: Over-sold",IF(AND(H184&lt;0,K184=0),"ERROR: Sell w/o position","")))</f>
        <v/>
      </c>
    </row>
    <row r="185">
      <c r="A185" s="3" t="n"/>
      <c r="B185" s="3" t="n"/>
      <c r="C185" s="3" t="n"/>
      <c r="D185" s="3" t="n"/>
      <c r="E185" s="3" t="n"/>
      <c r="F185" s="3" t="n"/>
      <c r="G185" s="3" t="n"/>
      <c r="H185">
        <f>IF(OR(D185="",E185=""),"",IF(D185="BUY",E185,-E185))</f>
        <v/>
      </c>
      <c r="I185" s="4">
        <f>IF(H185="","",ABS(H185)*F185)</f>
        <v/>
      </c>
      <c r="J185" s="4">
        <f>IF(H185="","",-H185*F185-G185)</f>
        <v/>
      </c>
      <c r="K185" s="5">
        <f>IF(OR(B185="",C185=""),"",SUMIFS($H$4:H184,$B$4:B184,B185,$C$4:C184,C185))</f>
        <v/>
      </c>
      <c r="L185" s="4">
        <f>IF(OR(B185="",C185=""),"",IFERROR(LOOKUP(2,1/(($B$4:B184=B185)*($C$4:C184=C185)),$O$4:O184),0))</f>
        <v/>
      </c>
      <c r="M185" s="4">
        <f>IF(K185=0,0,L185/K185)</f>
        <v/>
      </c>
      <c r="N185" s="4">
        <f>IF(H185&lt;0,ABS(H185)*(F185-M185)-G185,0)</f>
        <v/>
      </c>
      <c r="O185" s="4">
        <f>IF(H185="","",IF(H185&gt;0,L185+I185+G185,MAX(0,L185-ABS(H185)*M185)))</f>
        <v/>
      </c>
      <c r="P185" s="5">
        <f>IF(H185="","",K185+H185)</f>
        <v/>
      </c>
      <c r="Q185" s="4">
        <f>IF(P185=0,0,O185/P185)</f>
        <v/>
      </c>
      <c r="R185" s="3" t="n"/>
      <c r="S185">
        <f>IF(H185="","",IF(P185&lt;0,"ERROR: Over-sold",IF(AND(H185&lt;0,K185=0),"ERROR: Sell w/o position","")))</f>
        <v/>
      </c>
    </row>
    <row r="186">
      <c r="A186" s="3" t="n"/>
      <c r="B186" s="3" t="n"/>
      <c r="C186" s="3" t="n"/>
      <c r="D186" s="3" t="n"/>
      <c r="E186" s="3" t="n"/>
      <c r="F186" s="3" t="n"/>
      <c r="G186" s="3" t="n"/>
      <c r="H186">
        <f>IF(OR(D186="",E186=""),"",IF(D186="BUY",E186,-E186))</f>
        <v/>
      </c>
      <c r="I186" s="4">
        <f>IF(H186="","",ABS(H186)*F186)</f>
        <v/>
      </c>
      <c r="J186" s="4">
        <f>IF(H186="","",-H186*F186-G186)</f>
        <v/>
      </c>
      <c r="K186" s="5">
        <f>IF(OR(B186="",C186=""),"",SUMIFS($H$4:H185,$B$4:B185,B186,$C$4:C185,C186))</f>
        <v/>
      </c>
      <c r="L186" s="4">
        <f>IF(OR(B186="",C186=""),"",IFERROR(LOOKUP(2,1/(($B$4:B185=B186)*($C$4:C185=C186)),$O$4:O185),0))</f>
        <v/>
      </c>
      <c r="M186" s="4">
        <f>IF(K186=0,0,L186/K186)</f>
        <v/>
      </c>
      <c r="N186" s="4">
        <f>IF(H186&lt;0,ABS(H186)*(F186-M186)-G186,0)</f>
        <v/>
      </c>
      <c r="O186" s="4">
        <f>IF(H186="","",IF(H186&gt;0,L186+I186+G186,MAX(0,L186-ABS(H186)*M186)))</f>
        <v/>
      </c>
      <c r="P186" s="5">
        <f>IF(H186="","",K186+H186)</f>
        <v/>
      </c>
      <c r="Q186" s="4">
        <f>IF(P186=0,0,O186/P186)</f>
        <v/>
      </c>
      <c r="R186" s="3" t="n"/>
      <c r="S186">
        <f>IF(H186="","",IF(P186&lt;0,"ERROR: Over-sold",IF(AND(H186&lt;0,K186=0),"ERROR: Sell w/o position","")))</f>
        <v/>
      </c>
    </row>
    <row r="187">
      <c r="A187" s="3" t="n"/>
      <c r="B187" s="3" t="n"/>
      <c r="C187" s="3" t="n"/>
      <c r="D187" s="3" t="n"/>
      <c r="E187" s="3" t="n"/>
      <c r="F187" s="3" t="n"/>
      <c r="G187" s="3" t="n"/>
      <c r="H187">
        <f>IF(OR(D187="",E187=""),"",IF(D187="BUY",E187,-E187))</f>
        <v/>
      </c>
      <c r="I187" s="4">
        <f>IF(H187="","",ABS(H187)*F187)</f>
        <v/>
      </c>
      <c r="J187" s="4">
        <f>IF(H187="","",-H187*F187-G187)</f>
        <v/>
      </c>
      <c r="K187" s="5">
        <f>IF(OR(B187="",C187=""),"",SUMIFS($H$4:H186,$B$4:B186,B187,$C$4:C186,C187))</f>
        <v/>
      </c>
      <c r="L187" s="4">
        <f>IF(OR(B187="",C187=""),"",IFERROR(LOOKUP(2,1/(($B$4:B186=B187)*($C$4:C186=C187)),$O$4:O186),0))</f>
        <v/>
      </c>
      <c r="M187" s="4">
        <f>IF(K187=0,0,L187/K187)</f>
        <v/>
      </c>
      <c r="N187" s="4">
        <f>IF(H187&lt;0,ABS(H187)*(F187-M187)-G187,0)</f>
        <v/>
      </c>
      <c r="O187" s="4">
        <f>IF(H187="","",IF(H187&gt;0,L187+I187+G187,MAX(0,L187-ABS(H187)*M187)))</f>
        <v/>
      </c>
      <c r="P187" s="5">
        <f>IF(H187="","",K187+H187)</f>
        <v/>
      </c>
      <c r="Q187" s="4">
        <f>IF(P187=0,0,O187/P187)</f>
        <v/>
      </c>
      <c r="R187" s="3" t="n"/>
      <c r="S187">
        <f>IF(H187="","",IF(P187&lt;0,"ERROR: Over-sold",IF(AND(H187&lt;0,K187=0),"ERROR: Sell w/o position","")))</f>
        <v/>
      </c>
    </row>
    <row r="188">
      <c r="A188" s="3" t="n"/>
      <c r="B188" s="3" t="n"/>
      <c r="C188" s="3" t="n"/>
      <c r="D188" s="3" t="n"/>
      <c r="E188" s="3" t="n"/>
      <c r="F188" s="3" t="n"/>
      <c r="G188" s="3" t="n"/>
      <c r="H188">
        <f>IF(OR(D188="",E188=""),"",IF(D188="BUY",E188,-E188))</f>
        <v/>
      </c>
      <c r="I188" s="4">
        <f>IF(H188="","",ABS(H188)*F188)</f>
        <v/>
      </c>
      <c r="J188" s="4">
        <f>IF(H188="","",-H188*F188-G188)</f>
        <v/>
      </c>
      <c r="K188" s="5">
        <f>IF(OR(B188="",C188=""),"",SUMIFS($H$4:H187,$B$4:B187,B188,$C$4:C187,C188))</f>
        <v/>
      </c>
      <c r="L188" s="4">
        <f>IF(OR(B188="",C188=""),"",IFERROR(LOOKUP(2,1/(($B$4:B187=B188)*($C$4:C187=C188)),$O$4:O187),0))</f>
        <v/>
      </c>
      <c r="M188" s="4">
        <f>IF(K188=0,0,L188/K188)</f>
        <v/>
      </c>
      <c r="N188" s="4">
        <f>IF(H188&lt;0,ABS(H188)*(F188-M188)-G188,0)</f>
        <v/>
      </c>
      <c r="O188" s="4">
        <f>IF(H188="","",IF(H188&gt;0,L188+I188+G188,MAX(0,L188-ABS(H188)*M188)))</f>
        <v/>
      </c>
      <c r="P188" s="5">
        <f>IF(H188="","",K188+H188)</f>
        <v/>
      </c>
      <c r="Q188" s="4">
        <f>IF(P188=0,0,O188/P188)</f>
        <v/>
      </c>
      <c r="R188" s="3" t="n"/>
      <c r="S188">
        <f>IF(H188="","",IF(P188&lt;0,"ERROR: Over-sold",IF(AND(H188&lt;0,K188=0),"ERROR: Sell w/o position","")))</f>
        <v/>
      </c>
    </row>
    <row r="189">
      <c r="A189" s="3" t="n"/>
      <c r="B189" s="3" t="n"/>
      <c r="C189" s="3" t="n"/>
      <c r="D189" s="3" t="n"/>
      <c r="E189" s="3" t="n"/>
      <c r="F189" s="3" t="n"/>
      <c r="G189" s="3" t="n"/>
      <c r="H189">
        <f>IF(OR(D189="",E189=""),"",IF(D189="BUY",E189,-E189))</f>
        <v/>
      </c>
      <c r="I189" s="4">
        <f>IF(H189="","",ABS(H189)*F189)</f>
        <v/>
      </c>
      <c r="J189" s="4">
        <f>IF(H189="","",-H189*F189-G189)</f>
        <v/>
      </c>
      <c r="K189" s="5">
        <f>IF(OR(B189="",C189=""),"",SUMIFS($H$4:H188,$B$4:B188,B189,$C$4:C188,C189))</f>
        <v/>
      </c>
      <c r="L189" s="4">
        <f>IF(OR(B189="",C189=""),"",IFERROR(LOOKUP(2,1/(($B$4:B188=B189)*($C$4:C188=C189)),$O$4:O188),0))</f>
        <v/>
      </c>
      <c r="M189" s="4">
        <f>IF(K189=0,0,L189/K189)</f>
        <v/>
      </c>
      <c r="N189" s="4">
        <f>IF(H189&lt;0,ABS(H189)*(F189-M189)-G189,0)</f>
        <v/>
      </c>
      <c r="O189" s="4">
        <f>IF(H189="","",IF(H189&gt;0,L189+I189+G189,MAX(0,L189-ABS(H189)*M189)))</f>
        <v/>
      </c>
      <c r="P189" s="5">
        <f>IF(H189="","",K189+H189)</f>
        <v/>
      </c>
      <c r="Q189" s="4">
        <f>IF(P189=0,0,O189/P189)</f>
        <v/>
      </c>
      <c r="R189" s="3" t="n"/>
      <c r="S189">
        <f>IF(H189="","",IF(P189&lt;0,"ERROR: Over-sold",IF(AND(H189&lt;0,K189=0),"ERROR: Sell w/o position","")))</f>
        <v/>
      </c>
    </row>
    <row r="190">
      <c r="A190" s="3" t="n"/>
      <c r="B190" s="3" t="n"/>
      <c r="C190" s="3" t="n"/>
      <c r="D190" s="3" t="n"/>
      <c r="E190" s="3" t="n"/>
      <c r="F190" s="3" t="n"/>
      <c r="G190" s="3" t="n"/>
      <c r="H190">
        <f>IF(OR(D190="",E190=""),"",IF(D190="BUY",E190,-E190))</f>
        <v/>
      </c>
      <c r="I190" s="4">
        <f>IF(H190="","",ABS(H190)*F190)</f>
        <v/>
      </c>
      <c r="J190" s="4">
        <f>IF(H190="","",-H190*F190-G190)</f>
        <v/>
      </c>
      <c r="K190" s="5">
        <f>IF(OR(B190="",C190=""),"",SUMIFS($H$4:H189,$B$4:B189,B190,$C$4:C189,C190))</f>
        <v/>
      </c>
      <c r="L190" s="4">
        <f>IF(OR(B190="",C190=""),"",IFERROR(LOOKUP(2,1/(($B$4:B189=B190)*($C$4:C189=C190)),$O$4:O189),0))</f>
        <v/>
      </c>
      <c r="M190" s="4">
        <f>IF(K190=0,0,L190/K190)</f>
        <v/>
      </c>
      <c r="N190" s="4">
        <f>IF(H190&lt;0,ABS(H190)*(F190-M190)-G190,0)</f>
        <v/>
      </c>
      <c r="O190" s="4">
        <f>IF(H190="","",IF(H190&gt;0,L190+I190+G190,MAX(0,L190-ABS(H190)*M190)))</f>
        <v/>
      </c>
      <c r="P190" s="5">
        <f>IF(H190="","",K190+H190)</f>
        <v/>
      </c>
      <c r="Q190" s="4">
        <f>IF(P190=0,0,O190/P190)</f>
        <v/>
      </c>
      <c r="R190" s="3" t="n"/>
      <c r="S190">
        <f>IF(H190="","",IF(P190&lt;0,"ERROR: Over-sold",IF(AND(H190&lt;0,K190=0),"ERROR: Sell w/o position","")))</f>
        <v/>
      </c>
    </row>
    <row r="191">
      <c r="A191" s="3" t="n"/>
      <c r="B191" s="3" t="n"/>
      <c r="C191" s="3" t="n"/>
      <c r="D191" s="3" t="n"/>
      <c r="E191" s="3" t="n"/>
      <c r="F191" s="3" t="n"/>
      <c r="G191" s="3" t="n"/>
      <c r="H191">
        <f>IF(OR(D191="",E191=""),"",IF(D191="BUY",E191,-E191))</f>
        <v/>
      </c>
      <c r="I191" s="4">
        <f>IF(H191="","",ABS(H191)*F191)</f>
        <v/>
      </c>
      <c r="J191" s="4">
        <f>IF(H191="","",-H191*F191-G191)</f>
        <v/>
      </c>
      <c r="K191" s="5">
        <f>IF(OR(B191="",C191=""),"",SUMIFS($H$4:H190,$B$4:B190,B191,$C$4:C190,C191))</f>
        <v/>
      </c>
      <c r="L191" s="4">
        <f>IF(OR(B191="",C191=""),"",IFERROR(LOOKUP(2,1/(($B$4:B190=B191)*($C$4:C190=C191)),$O$4:O190),0))</f>
        <v/>
      </c>
      <c r="M191" s="4">
        <f>IF(K191=0,0,L191/K191)</f>
        <v/>
      </c>
      <c r="N191" s="4">
        <f>IF(H191&lt;0,ABS(H191)*(F191-M191)-G191,0)</f>
        <v/>
      </c>
      <c r="O191" s="4">
        <f>IF(H191="","",IF(H191&gt;0,L191+I191+G191,MAX(0,L191-ABS(H191)*M191)))</f>
        <v/>
      </c>
      <c r="P191" s="5">
        <f>IF(H191="","",K191+H191)</f>
        <v/>
      </c>
      <c r="Q191" s="4">
        <f>IF(P191=0,0,O191/P191)</f>
        <v/>
      </c>
      <c r="R191" s="3" t="n"/>
      <c r="S191">
        <f>IF(H191="","",IF(P191&lt;0,"ERROR: Over-sold",IF(AND(H191&lt;0,K191=0),"ERROR: Sell w/o position","")))</f>
        <v/>
      </c>
    </row>
    <row r="192">
      <c r="A192" s="3" t="n"/>
      <c r="B192" s="3" t="n"/>
      <c r="C192" s="3" t="n"/>
      <c r="D192" s="3" t="n"/>
      <c r="E192" s="3" t="n"/>
      <c r="F192" s="3" t="n"/>
      <c r="G192" s="3" t="n"/>
      <c r="H192">
        <f>IF(OR(D192="",E192=""),"",IF(D192="BUY",E192,-E192))</f>
        <v/>
      </c>
      <c r="I192" s="4">
        <f>IF(H192="","",ABS(H192)*F192)</f>
        <v/>
      </c>
      <c r="J192" s="4">
        <f>IF(H192="","",-H192*F192-G192)</f>
        <v/>
      </c>
      <c r="K192" s="5">
        <f>IF(OR(B192="",C192=""),"",SUMIFS($H$4:H191,$B$4:B191,B192,$C$4:C191,C192))</f>
        <v/>
      </c>
      <c r="L192" s="4">
        <f>IF(OR(B192="",C192=""),"",IFERROR(LOOKUP(2,1/(($B$4:B191=B192)*($C$4:C191=C192)),$O$4:O191),0))</f>
        <v/>
      </c>
      <c r="M192" s="4">
        <f>IF(K192=0,0,L192/K192)</f>
        <v/>
      </c>
      <c r="N192" s="4">
        <f>IF(H192&lt;0,ABS(H192)*(F192-M192)-G192,0)</f>
        <v/>
      </c>
      <c r="O192" s="4">
        <f>IF(H192="","",IF(H192&gt;0,L192+I192+G192,MAX(0,L192-ABS(H192)*M192)))</f>
        <v/>
      </c>
      <c r="P192" s="5">
        <f>IF(H192="","",K192+H192)</f>
        <v/>
      </c>
      <c r="Q192" s="4">
        <f>IF(P192=0,0,O192/P192)</f>
        <v/>
      </c>
      <c r="R192" s="3" t="n"/>
      <c r="S192">
        <f>IF(H192="","",IF(P192&lt;0,"ERROR: Over-sold",IF(AND(H192&lt;0,K192=0),"ERROR: Sell w/o position","")))</f>
        <v/>
      </c>
    </row>
    <row r="193">
      <c r="A193" s="3" t="n"/>
      <c r="B193" s="3" t="n"/>
      <c r="C193" s="3" t="n"/>
      <c r="D193" s="3" t="n"/>
      <c r="E193" s="3" t="n"/>
      <c r="F193" s="3" t="n"/>
      <c r="G193" s="3" t="n"/>
      <c r="H193">
        <f>IF(OR(D193="",E193=""),"",IF(D193="BUY",E193,-E193))</f>
        <v/>
      </c>
      <c r="I193" s="4">
        <f>IF(H193="","",ABS(H193)*F193)</f>
        <v/>
      </c>
      <c r="J193" s="4">
        <f>IF(H193="","",-H193*F193-G193)</f>
        <v/>
      </c>
      <c r="K193" s="5">
        <f>IF(OR(B193="",C193=""),"",SUMIFS($H$4:H192,$B$4:B192,B193,$C$4:C192,C193))</f>
        <v/>
      </c>
      <c r="L193" s="4">
        <f>IF(OR(B193="",C193=""),"",IFERROR(LOOKUP(2,1/(($B$4:B192=B193)*($C$4:C192=C193)),$O$4:O192),0))</f>
        <v/>
      </c>
      <c r="M193" s="4">
        <f>IF(K193=0,0,L193/K193)</f>
        <v/>
      </c>
      <c r="N193" s="4">
        <f>IF(H193&lt;0,ABS(H193)*(F193-M193)-G193,0)</f>
        <v/>
      </c>
      <c r="O193" s="4">
        <f>IF(H193="","",IF(H193&gt;0,L193+I193+G193,MAX(0,L193-ABS(H193)*M193)))</f>
        <v/>
      </c>
      <c r="P193" s="5">
        <f>IF(H193="","",K193+H193)</f>
        <v/>
      </c>
      <c r="Q193" s="4">
        <f>IF(P193=0,0,O193/P193)</f>
        <v/>
      </c>
      <c r="R193" s="3" t="n"/>
      <c r="S193">
        <f>IF(H193="","",IF(P193&lt;0,"ERROR: Over-sold",IF(AND(H193&lt;0,K193=0),"ERROR: Sell w/o position","")))</f>
        <v/>
      </c>
    </row>
    <row r="194">
      <c r="A194" s="3" t="n"/>
      <c r="B194" s="3" t="n"/>
      <c r="C194" s="3" t="n"/>
      <c r="D194" s="3" t="n"/>
      <c r="E194" s="3" t="n"/>
      <c r="F194" s="3" t="n"/>
      <c r="G194" s="3" t="n"/>
      <c r="H194">
        <f>IF(OR(D194="",E194=""),"",IF(D194="BUY",E194,-E194))</f>
        <v/>
      </c>
      <c r="I194" s="4">
        <f>IF(H194="","",ABS(H194)*F194)</f>
        <v/>
      </c>
      <c r="J194" s="4">
        <f>IF(H194="","",-H194*F194-G194)</f>
        <v/>
      </c>
      <c r="K194" s="5">
        <f>IF(OR(B194="",C194=""),"",SUMIFS($H$4:H193,$B$4:B193,B194,$C$4:C193,C194))</f>
        <v/>
      </c>
      <c r="L194" s="4">
        <f>IF(OR(B194="",C194=""),"",IFERROR(LOOKUP(2,1/(($B$4:B193=B194)*($C$4:C193=C194)),$O$4:O193),0))</f>
        <v/>
      </c>
      <c r="M194" s="4">
        <f>IF(K194=0,0,L194/K194)</f>
        <v/>
      </c>
      <c r="N194" s="4">
        <f>IF(H194&lt;0,ABS(H194)*(F194-M194)-G194,0)</f>
        <v/>
      </c>
      <c r="O194" s="4">
        <f>IF(H194="","",IF(H194&gt;0,L194+I194+G194,MAX(0,L194-ABS(H194)*M194)))</f>
        <v/>
      </c>
      <c r="P194" s="5">
        <f>IF(H194="","",K194+H194)</f>
        <v/>
      </c>
      <c r="Q194" s="4">
        <f>IF(P194=0,0,O194/P194)</f>
        <v/>
      </c>
      <c r="R194" s="3" t="n"/>
      <c r="S194">
        <f>IF(H194="","",IF(P194&lt;0,"ERROR: Over-sold",IF(AND(H194&lt;0,K194=0),"ERROR: Sell w/o position","")))</f>
        <v/>
      </c>
    </row>
    <row r="195">
      <c r="A195" s="3" t="n"/>
      <c r="B195" s="3" t="n"/>
      <c r="C195" s="3" t="n"/>
      <c r="D195" s="3" t="n"/>
      <c r="E195" s="3" t="n"/>
      <c r="F195" s="3" t="n"/>
      <c r="G195" s="3" t="n"/>
      <c r="H195">
        <f>IF(OR(D195="",E195=""),"",IF(D195="BUY",E195,-E195))</f>
        <v/>
      </c>
      <c r="I195" s="4">
        <f>IF(H195="","",ABS(H195)*F195)</f>
        <v/>
      </c>
      <c r="J195" s="4">
        <f>IF(H195="","",-H195*F195-G195)</f>
        <v/>
      </c>
      <c r="K195" s="5">
        <f>IF(OR(B195="",C195=""),"",SUMIFS($H$4:H194,$B$4:B194,B195,$C$4:C194,C195))</f>
        <v/>
      </c>
      <c r="L195" s="4">
        <f>IF(OR(B195="",C195=""),"",IFERROR(LOOKUP(2,1/(($B$4:B194=B195)*($C$4:C194=C195)),$O$4:O194),0))</f>
        <v/>
      </c>
      <c r="M195" s="4">
        <f>IF(K195=0,0,L195/K195)</f>
        <v/>
      </c>
      <c r="N195" s="4">
        <f>IF(H195&lt;0,ABS(H195)*(F195-M195)-G195,0)</f>
        <v/>
      </c>
      <c r="O195" s="4">
        <f>IF(H195="","",IF(H195&gt;0,L195+I195+G195,MAX(0,L195-ABS(H195)*M195)))</f>
        <v/>
      </c>
      <c r="P195" s="5">
        <f>IF(H195="","",K195+H195)</f>
        <v/>
      </c>
      <c r="Q195" s="4">
        <f>IF(P195=0,0,O195/P195)</f>
        <v/>
      </c>
      <c r="R195" s="3" t="n"/>
      <c r="S195">
        <f>IF(H195="","",IF(P195&lt;0,"ERROR: Over-sold",IF(AND(H195&lt;0,K195=0),"ERROR: Sell w/o position","")))</f>
        <v/>
      </c>
    </row>
    <row r="196">
      <c r="A196" s="3" t="n"/>
      <c r="B196" s="3" t="n"/>
      <c r="C196" s="3" t="n"/>
      <c r="D196" s="3" t="n"/>
      <c r="E196" s="3" t="n"/>
      <c r="F196" s="3" t="n"/>
      <c r="G196" s="3" t="n"/>
      <c r="H196">
        <f>IF(OR(D196="",E196=""),"",IF(D196="BUY",E196,-E196))</f>
        <v/>
      </c>
      <c r="I196" s="4">
        <f>IF(H196="","",ABS(H196)*F196)</f>
        <v/>
      </c>
      <c r="J196" s="4">
        <f>IF(H196="","",-H196*F196-G196)</f>
        <v/>
      </c>
      <c r="K196" s="5">
        <f>IF(OR(B196="",C196=""),"",SUMIFS($H$4:H195,$B$4:B195,B196,$C$4:C195,C196))</f>
        <v/>
      </c>
      <c r="L196" s="4">
        <f>IF(OR(B196="",C196=""),"",IFERROR(LOOKUP(2,1/(($B$4:B195=B196)*($C$4:C195=C196)),$O$4:O195),0))</f>
        <v/>
      </c>
      <c r="M196" s="4">
        <f>IF(K196=0,0,L196/K196)</f>
        <v/>
      </c>
      <c r="N196" s="4">
        <f>IF(H196&lt;0,ABS(H196)*(F196-M196)-G196,0)</f>
        <v/>
      </c>
      <c r="O196" s="4">
        <f>IF(H196="","",IF(H196&gt;0,L196+I196+G196,MAX(0,L196-ABS(H196)*M196)))</f>
        <v/>
      </c>
      <c r="P196" s="5">
        <f>IF(H196="","",K196+H196)</f>
        <v/>
      </c>
      <c r="Q196" s="4">
        <f>IF(P196=0,0,O196/P196)</f>
        <v/>
      </c>
      <c r="R196" s="3" t="n"/>
      <c r="S196">
        <f>IF(H196="","",IF(P196&lt;0,"ERROR: Over-sold",IF(AND(H196&lt;0,K196=0),"ERROR: Sell w/o position","")))</f>
        <v/>
      </c>
    </row>
    <row r="197">
      <c r="A197" s="3" t="n"/>
      <c r="B197" s="3" t="n"/>
      <c r="C197" s="3" t="n"/>
      <c r="D197" s="3" t="n"/>
      <c r="E197" s="3" t="n"/>
      <c r="F197" s="3" t="n"/>
      <c r="G197" s="3" t="n"/>
      <c r="H197">
        <f>IF(OR(D197="",E197=""),"",IF(D197="BUY",E197,-E197))</f>
        <v/>
      </c>
      <c r="I197" s="4">
        <f>IF(H197="","",ABS(H197)*F197)</f>
        <v/>
      </c>
      <c r="J197" s="4">
        <f>IF(H197="","",-H197*F197-G197)</f>
        <v/>
      </c>
      <c r="K197" s="5">
        <f>IF(OR(B197="",C197=""),"",SUMIFS($H$4:H196,$B$4:B196,B197,$C$4:C196,C197))</f>
        <v/>
      </c>
      <c r="L197" s="4">
        <f>IF(OR(B197="",C197=""),"",IFERROR(LOOKUP(2,1/(($B$4:B196=B197)*($C$4:C196=C197)),$O$4:O196),0))</f>
        <v/>
      </c>
      <c r="M197" s="4">
        <f>IF(K197=0,0,L197/K197)</f>
        <v/>
      </c>
      <c r="N197" s="4">
        <f>IF(H197&lt;0,ABS(H197)*(F197-M197)-G197,0)</f>
        <v/>
      </c>
      <c r="O197" s="4">
        <f>IF(H197="","",IF(H197&gt;0,L197+I197+G197,MAX(0,L197-ABS(H197)*M197)))</f>
        <v/>
      </c>
      <c r="P197" s="5">
        <f>IF(H197="","",K197+H197)</f>
        <v/>
      </c>
      <c r="Q197" s="4">
        <f>IF(P197=0,0,O197/P197)</f>
        <v/>
      </c>
      <c r="R197" s="3" t="n"/>
      <c r="S197">
        <f>IF(H197="","",IF(P197&lt;0,"ERROR: Over-sold",IF(AND(H197&lt;0,K197=0),"ERROR: Sell w/o position","")))</f>
        <v/>
      </c>
    </row>
    <row r="198">
      <c r="A198" s="3" t="n"/>
      <c r="B198" s="3" t="n"/>
      <c r="C198" s="3" t="n"/>
      <c r="D198" s="3" t="n"/>
      <c r="E198" s="3" t="n"/>
      <c r="F198" s="3" t="n"/>
      <c r="G198" s="3" t="n"/>
      <c r="H198">
        <f>IF(OR(D198="",E198=""),"",IF(D198="BUY",E198,-E198))</f>
        <v/>
      </c>
      <c r="I198" s="4">
        <f>IF(H198="","",ABS(H198)*F198)</f>
        <v/>
      </c>
      <c r="J198" s="4">
        <f>IF(H198="","",-H198*F198-G198)</f>
        <v/>
      </c>
      <c r="K198" s="5">
        <f>IF(OR(B198="",C198=""),"",SUMIFS($H$4:H197,$B$4:B197,B198,$C$4:C197,C198))</f>
        <v/>
      </c>
      <c r="L198" s="4">
        <f>IF(OR(B198="",C198=""),"",IFERROR(LOOKUP(2,1/(($B$4:B197=B198)*($C$4:C197=C198)),$O$4:O197),0))</f>
        <v/>
      </c>
      <c r="M198" s="4">
        <f>IF(K198=0,0,L198/K198)</f>
        <v/>
      </c>
      <c r="N198" s="4">
        <f>IF(H198&lt;0,ABS(H198)*(F198-M198)-G198,0)</f>
        <v/>
      </c>
      <c r="O198" s="4">
        <f>IF(H198="","",IF(H198&gt;0,L198+I198+G198,MAX(0,L198-ABS(H198)*M198)))</f>
        <v/>
      </c>
      <c r="P198" s="5">
        <f>IF(H198="","",K198+H198)</f>
        <v/>
      </c>
      <c r="Q198" s="4">
        <f>IF(P198=0,0,O198/P198)</f>
        <v/>
      </c>
      <c r="R198" s="3" t="n"/>
      <c r="S198">
        <f>IF(H198="","",IF(P198&lt;0,"ERROR: Over-sold",IF(AND(H198&lt;0,K198=0),"ERROR: Sell w/o position","")))</f>
        <v/>
      </c>
    </row>
    <row r="199">
      <c r="A199" s="3" t="n"/>
      <c r="B199" s="3" t="n"/>
      <c r="C199" s="3" t="n"/>
      <c r="D199" s="3" t="n"/>
      <c r="E199" s="3" t="n"/>
      <c r="F199" s="3" t="n"/>
      <c r="G199" s="3" t="n"/>
      <c r="H199">
        <f>IF(OR(D199="",E199=""),"",IF(D199="BUY",E199,-E199))</f>
        <v/>
      </c>
      <c r="I199" s="4">
        <f>IF(H199="","",ABS(H199)*F199)</f>
        <v/>
      </c>
      <c r="J199" s="4">
        <f>IF(H199="","",-H199*F199-G199)</f>
        <v/>
      </c>
      <c r="K199" s="5">
        <f>IF(OR(B199="",C199=""),"",SUMIFS($H$4:H198,$B$4:B198,B199,$C$4:C198,C199))</f>
        <v/>
      </c>
      <c r="L199" s="4">
        <f>IF(OR(B199="",C199=""),"",IFERROR(LOOKUP(2,1/(($B$4:B198=B199)*($C$4:C198=C199)),$O$4:O198),0))</f>
        <v/>
      </c>
      <c r="M199" s="4">
        <f>IF(K199=0,0,L199/K199)</f>
        <v/>
      </c>
      <c r="N199" s="4">
        <f>IF(H199&lt;0,ABS(H199)*(F199-M199)-G199,0)</f>
        <v/>
      </c>
      <c r="O199" s="4">
        <f>IF(H199="","",IF(H199&gt;0,L199+I199+G199,MAX(0,L199-ABS(H199)*M199)))</f>
        <v/>
      </c>
      <c r="P199" s="5">
        <f>IF(H199="","",K199+H199)</f>
        <v/>
      </c>
      <c r="Q199" s="4">
        <f>IF(P199=0,0,O199/P199)</f>
        <v/>
      </c>
      <c r="R199" s="3" t="n"/>
      <c r="S199">
        <f>IF(H199="","",IF(P199&lt;0,"ERROR: Over-sold",IF(AND(H199&lt;0,K199=0),"ERROR: Sell w/o position","")))</f>
        <v/>
      </c>
    </row>
    <row r="200">
      <c r="A200" s="3" t="n"/>
      <c r="B200" s="3" t="n"/>
      <c r="C200" s="3" t="n"/>
      <c r="D200" s="3" t="n"/>
      <c r="E200" s="3" t="n"/>
      <c r="F200" s="3" t="n"/>
      <c r="G200" s="3" t="n"/>
      <c r="H200">
        <f>IF(OR(D200="",E200=""),"",IF(D200="BUY",E200,-E200))</f>
        <v/>
      </c>
      <c r="I200" s="4">
        <f>IF(H200="","",ABS(H200)*F200)</f>
        <v/>
      </c>
      <c r="J200" s="4">
        <f>IF(H200="","",-H200*F200-G200)</f>
        <v/>
      </c>
      <c r="K200" s="5">
        <f>IF(OR(B200="",C200=""),"",SUMIFS($H$4:H199,$B$4:B199,B200,$C$4:C199,C200))</f>
        <v/>
      </c>
      <c r="L200" s="4">
        <f>IF(OR(B200="",C200=""),"",IFERROR(LOOKUP(2,1/(($B$4:B199=B200)*($C$4:C199=C200)),$O$4:O199),0))</f>
        <v/>
      </c>
      <c r="M200" s="4">
        <f>IF(K200=0,0,L200/K200)</f>
        <v/>
      </c>
      <c r="N200" s="4">
        <f>IF(H200&lt;0,ABS(H200)*(F200-M200)-G200,0)</f>
        <v/>
      </c>
      <c r="O200" s="4">
        <f>IF(H200="","",IF(H200&gt;0,L200+I200+G200,MAX(0,L200-ABS(H200)*M200)))</f>
        <v/>
      </c>
      <c r="P200" s="5">
        <f>IF(H200="","",K200+H200)</f>
        <v/>
      </c>
      <c r="Q200" s="4">
        <f>IF(P200=0,0,O200/P200)</f>
        <v/>
      </c>
      <c r="R200" s="3" t="n"/>
      <c r="S200">
        <f>IF(H200="","",IF(P200&lt;0,"ERROR: Over-sold",IF(AND(H200&lt;0,K200=0),"ERROR: Sell w/o position","")))</f>
        <v/>
      </c>
    </row>
    <row r="201">
      <c r="A201" s="3" t="n"/>
      <c r="B201" s="3" t="n"/>
      <c r="C201" s="3" t="n"/>
      <c r="D201" s="3" t="n"/>
      <c r="E201" s="3" t="n"/>
      <c r="F201" s="3" t="n"/>
      <c r="G201" s="3" t="n"/>
      <c r="H201">
        <f>IF(OR(D201="",E201=""),"",IF(D201="BUY",E201,-E201))</f>
        <v/>
      </c>
      <c r="I201" s="4">
        <f>IF(H201="","",ABS(H201)*F201)</f>
        <v/>
      </c>
      <c r="J201" s="4">
        <f>IF(H201="","",-H201*F201-G201)</f>
        <v/>
      </c>
      <c r="K201" s="5">
        <f>IF(OR(B201="",C201=""),"",SUMIFS($H$4:H200,$B$4:B200,B201,$C$4:C200,C201))</f>
        <v/>
      </c>
      <c r="L201" s="4">
        <f>IF(OR(B201="",C201=""),"",IFERROR(LOOKUP(2,1/(($B$4:B200=B201)*($C$4:C200=C201)),$O$4:O200),0))</f>
        <v/>
      </c>
      <c r="M201" s="4">
        <f>IF(K201=0,0,L201/K201)</f>
        <v/>
      </c>
      <c r="N201" s="4">
        <f>IF(H201&lt;0,ABS(H201)*(F201-M201)-G201,0)</f>
        <v/>
      </c>
      <c r="O201" s="4">
        <f>IF(H201="","",IF(H201&gt;0,L201+I201+G201,MAX(0,L201-ABS(H201)*M201)))</f>
        <v/>
      </c>
      <c r="P201" s="5">
        <f>IF(H201="","",K201+H201)</f>
        <v/>
      </c>
      <c r="Q201" s="4">
        <f>IF(P201=0,0,O201/P201)</f>
        <v/>
      </c>
      <c r="R201" s="3" t="n"/>
      <c r="S201">
        <f>IF(H201="","",IF(P201&lt;0,"ERROR: Over-sold",IF(AND(H201&lt;0,K201=0),"ERROR: Sell w/o position","")))</f>
        <v/>
      </c>
    </row>
    <row r="202">
      <c r="A202" s="3" t="n"/>
      <c r="B202" s="3" t="n"/>
      <c r="C202" s="3" t="n"/>
      <c r="D202" s="3" t="n"/>
      <c r="E202" s="3" t="n"/>
      <c r="F202" s="3" t="n"/>
      <c r="G202" s="3" t="n"/>
      <c r="H202">
        <f>IF(OR(D202="",E202=""),"",IF(D202="BUY",E202,-E202))</f>
        <v/>
      </c>
      <c r="I202" s="4">
        <f>IF(H202="","",ABS(H202)*F202)</f>
        <v/>
      </c>
      <c r="J202" s="4">
        <f>IF(H202="","",-H202*F202-G202)</f>
        <v/>
      </c>
      <c r="K202" s="5">
        <f>IF(OR(B202="",C202=""),"",SUMIFS($H$4:H201,$B$4:B201,B202,$C$4:C201,C202))</f>
        <v/>
      </c>
      <c r="L202" s="4">
        <f>IF(OR(B202="",C202=""),"",IFERROR(LOOKUP(2,1/(($B$4:B201=B202)*($C$4:C201=C202)),$O$4:O201),0))</f>
        <v/>
      </c>
      <c r="M202" s="4">
        <f>IF(K202=0,0,L202/K202)</f>
        <v/>
      </c>
      <c r="N202" s="4">
        <f>IF(H202&lt;0,ABS(H202)*(F202-M202)-G202,0)</f>
        <v/>
      </c>
      <c r="O202" s="4">
        <f>IF(H202="","",IF(H202&gt;0,L202+I202+G202,MAX(0,L202-ABS(H202)*M202)))</f>
        <v/>
      </c>
      <c r="P202" s="5">
        <f>IF(H202="","",K202+H202)</f>
        <v/>
      </c>
      <c r="Q202" s="4">
        <f>IF(P202=0,0,O202/P202)</f>
        <v/>
      </c>
      <c r="R202" s="3" t="n"/>
      <c r="S202">
        <f>IF(H202="","",IF(P202&lt;0,"ERROR: Over-sold",IF(AND(H202&lt;0,K202=0),"ERROR: Sell w/o position","")))</f>
        <v/>
      </c>
    </row>
    <row r="203">
      <c r="A203" s="3" t="n"/>
      <c r="B203" s="3" t="n"/>
      <c r="C203" s="3" t="n"/>
      <c r="D203" s="3" t="n"/>
      <c r="E203" s="3" t="n"/>
      <c r="F203" s="3" t="n"/>
      <c r="G203" s="3" t="n"/>
      <c r="H203">
        <f>IF(OR(D203="",E203=""),"",IF(D203="BUY",E203,-E203))</f>
        <v/>
      </c>
      <c r="I203" s="4">
        <f>IF(H203="","",ABS(H203)*F203)</f>
        <v/>
      </c>
      <c r="J203" s="4">
        <f>IF(H203="","",-H203*F203-G203)</f>
        <v/>
      </c>
      <c r="K203" s="5">
        <f>IF(OR(B203="",C203=""),"",SUMIFS($H$4:H202,$B$4:B202,B203,$C$4:C202,C203))</f>
        <v/>
      </c>
      <c r="L203" s="4">
        <f>IF(OR(B203="",C203=""),"",IFERROR(LOOKUP(2,1/(($B$4:B202=B203)*($C$4:C202=C203)),$O$4:O202),0))</f>
        <v/>
      </c>
      <c r="M203" s="4">
        <f>IF(K203=0,0,L203/K203)</f>
        <v/>
      </c>
      <c r="N203" s="4">
        <f>IF(H203&lt;0,ABS(H203)*(F203-M203)-G203,0)</f>
        <v/>
      </c>
      <c r="O203" s="4">
        <f>IF(H203="","",IF(H203&gt;0,L203+I203+G203,MAX(0,L203-ABS(H203)*M203)))</f>
        <v/>
      </c>
      <c r="P203" s="5">
        <f>IF(H203="","",K203+H203)</f>
        <v/>
      </c>
      <c r="Q203" s="4">
        <f>IF(P203=0,0,O203/P203)</f>
        <v/>
      </c>
      <c r="R203" s="3" t="n"/>
      <c r="S203">
        <f>IF(H203="","",IF(P203&lt;0,"ERROR: Over-sold",IF(AND(H203&lt;0,K203=0),"ERROR: Sell w/o position","")))</f>
        <v/>
      </c>
    </row>
    <row r="204">
      <c r="A204" s="3" t="n"/>
      <c r="B204" s="3" t="n"/>
      <c r="C204" s="3" t="n"/>
      <c r="D204" s="3" t="n"/>
      <c r="E204" s="3" t="n"/>
      <c r="F204" s="3" t="n"/>
      <c r="G204" s="3" t="n"/>
      <c r="H204">
        <f>IF(OR(D204="",E204=""),"",IF(D204="BUY",E204,-E204))</f>
        <v/>
      </c>
      <c r="I204" s="4">
        <f>IF(H204="","",ABS(H204)*F204)</f>
        <v/>
      </c>
      <c r="J204" s="4">
        <f>IF(H204="","",-H204*F204-G204)</f>
        <v/>
      </c>
      <c r="K204" s="5">
        <f>IF(OR(B204="",C204=""),"",SUMIFS($H$4:H203,$B$4:B203,B204,$C$4:C203,C204))</f>
        <v/>
      </c>
      <c r="L204" s="4">
        <f>IF(OR(B204="",C204=""),"",IFERROR(LOOKUP(2,1/(($B$4:B203=B204)*($C$4:C203=C204)),$O$4:O203),0))</f>
        <v/>
      </c>
      <c r="M204" s="4">
        <f>IF(K204=0,0,L204/K204)</f>
        <v/>
      </c>
      <c r="N204" s="4">
        <f>IF(H204&lt;0,ABS(H204)*(F204-M204)-G204,0)</f>
        <v/>
      </c>
      <c r="O204" s="4">
        <f>IF(H204="","",IF(H204&gt;0,L204+I204+G204,MAX(0,L204-ABS(H204)*M204)))</f>
        <v/>
      </c>
      <c r="P204" s="5">
        <f>IF(H204="","",K204+H204)</f>
        <v/>
      </c>
      <c r="Q204" s="4">
        <f>IF(P204=0,0,O204/P204)</f>
        <v/>
      </c>
      <c r="R204" s="3" t="n"/>
      <c r="S204">
        <f>IF(H204="","",IF(P204&lt;0,"ERROR: Over-sold",IF(AND(H204&lt;0,K204=0),"ERROR: Sell w/o position","")))</f>
        <v/>
      </c>
    </row>
    <row r="205">
      <c r="A205" s="3" t="n"/>
      <c r="B205" s="3" t="n"/>
      <c r="C205" s="3" t="n"/>
      <c r="D205" s="3" t="n"/>
      <c r="E205" s="3" t="n"/>
      <c r="F205" s="3" t="n"/>
      <c r="G205" s="3" t="n"/>
      <c r="H205">
        <f>IF(OR(D205="",E205=""),"",IF(D205="BUY",E205,-E205))</f>
        <v/>
      </c>
      <c r="I205" s="4">
        <f>IF(H205="","",ABS(H205)*F205)</f>
        <v/>
      </c>
      <c r="J205" s="4">
        <f>IF(H205="","",-H205*F205-G205)</f>
        <v/>
      </c>
      <c r="K205" s="5">
        <f>IF(OR(B205="",C205=""),"",SUMIFS($H$4:H204,$B$4:B204,B205,$C$4:C204,C205))</f>
        <v/>
      </c>
      <c r="L205" s="4">
        <f>IF(OR(B205="",C205=""),"",IFERROR(LOOKUP(2,1/(($B$4:B204=B205)*($C$4:C204=C205)),$O$4:O204),0))</f>
        <v/>
      </c>
      <c r="M205" s="4">
        <f>IF(K205=0,0,L205/K205)</f>
        <v/>
      </c>
      <c r="N205" s="4">
        <f>IF(H205&lt;0,ABS(H205)*(F205-M205)-G205,0)</f>
        <v/>
      </c>
      <c r="O205" s="4">
        <f>IF(H205="","",IF(H205&gt;0,L205+I205+G205,MAX(0,L205-ABS(H205)*M205)))</f>
        <v/>
      </c>
      <c r="P205" s="5">
        <f>IF(H205="","",K205+H205)</f>
        <v/>
      </c>
      <c r="Q205" s="4">
        <f>IF(P205=0,0,O205/P205)</f>
        <v/>
      </c>
      <c r="R205" s="3" t="n"/>
      <c r="S205">
        <f>IF(H205="","",IF(P205&lt;0,"ERROR: Over-sold",IF(AND(H205&lt;0,K205=0),"ERROR: Sell w/o position","")))</f>
        <v/>
      </c>
    </row>
    <row r="206">
      <c r="A206" s="3" t="n"/>
      <c r="B206" s="3" t="n"/>
      <c r="C206" s="3" t="n"/>
      <c r="D206" s="3" t="n"/>
      <c r="E206" s="3" t="n"/>
      <c r="F206" s="3" t="n"/>
      <c r="G206" s="3" t="n"/>
      <c r="H206">
        <f>IF(OR(D206="",E206=""),"",IF(D206="BUY",E206,-E206))</f>
        <v/>
      </c>
      <c r="I206" s="4">
        <f>IF(H206="","",ABS(H206)*F206)</f>
        <v/>
      </c>
      <c r="J206" s="4">
        <f>IF(H206="","",-H206*F206-G206)</f>
        <v/>
      </c>
      <c r="K206" s="5">
        <f>IF(OR(B206="",C206=""),"",SUMIFS($H$4:H205,$B$4:B205,B206,$C$4:C205,C206))</f>
        <v/>
      </c>
      <c r="L206" s="4">
        <f>IF(OR(B206="",C206=""),"",IFERROR(LOOKUP(2,1/(($B$4:B205=B206)*($C$4:C205=C206)),$O$4:O205),0))</f>
        <v/>
      </c>
      <c r="M206" s="4">
        <f>IF(K206=0,0,L206/K206)</f>
        <v/>
      </c>
      <c r="N206" s="4">
        <f>IF(H206&lt;0,ABS(H206)*(F206-M206)-G206,0)</f>
        <v/>
      </c>
      <c r="O206" s="4">
        <f>IF(H206="","",IF(H206&gt;0,L206+I206+G206,MAX(0,L206-ABS(H206)*M206)))</f>
        <v/>
      </c>
      <c r="P206" s="5">
        <f>IF(H206="","",K206+H206)</f>
        <v/>
      </c>
      <c r="Q206" s="4">
        <f>IF(P206=0,0,O206/P206)</f>
        <v/>
      </c>
      <c r="R206" s="3" t="n"/>
      <c r="S206">
        <f>IF(H206="","",IF(P206&lt;0,"ERROR: Over-sold",IF(AND(H206&lt;0,K206=0),"ERROR: Sell w/o position","")))</f>
        <v/>
      </c>
    </row>
  </sheetData>
  <mergeCells count="1">
    <mergeCell ref="A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03"/>
  <sheetViews>
    <sheetView workbookViewId="0">
      <selection activeCell="B9" sqref="B9"/>
    </sheetView>
  </sheetViews>
  <sheetFormatPr baseColWidth="8" defaultRowHeight="14.6"/>
  <cols>
    <col width="18.69140625" customWidth="1" min="1" max="4"/>
  </cols>
  <sheetData>
    <row r="1" ht="18.45" customHeight="1">
      <c r="A1" s="10" t="inlineStr">
        <is>
          <t>External Cash Flow</t>
        </is>
      </c>
    </row>
    <row r="3">
      <c r="A3" s="2" t="inlineStr">
        <is>
          <t>Date</t>
        </is>
      </c>
      <c r="B3" s="2" t="inlineStr">
        <is>
          <t>Type</t>
        </is>
      </c>
      <c r="C3" s="2" t="inlineStr">
        <is>
          <t>Amount</t>
        </is>
      </c>
      <c r="D3" s="2" t="inlineStr">
        <is>
          <t>Notes</t>
        </is>
      </c>
    </row>
    <row r="4">
      <c r="A4" s="7" t="n">
        <v>46038</v>
      </c>
      <c r="B4" s="3" t="inlineStr">
        <is>
          <t>Deposit</t>
        </is>
      </c>
      <c r="C4" s="3" t="n">
        <v>2564.99044541059</v>
      </c>
      <c r="D4" s="3" t="n"/>
    </row>
    <row r="5">
      <c r="A5" s="7" t="n">
        <v>46042</v>
      </c>
      <c r="B5" s="3" t="inlineStr">
        <is>
          <t>Deposit</t>
        </is>
      </c>
      <c r="C5" s="3" t="n">
        <v>1538.52071233509</v>
      </c>
      <c r="D5" s="3" t="n"/>
    </row>
    <row r="6">
      <c r="A6" s="7" t="n">
        <v>46100</v>
      </c>
      <c r="B6" s="3" t="inlineStr">
        <is>
          <t>Deposit</t>
        </is>
      </c>
      <c r="C6" s="3" t="n">
        <v>638.25984834946</v>
      </c>
      <c r="D6" s="3" t="n"/>
    </row>
    <row r="7">
      <c r="A7" s="7" t="n">
        <v>46148</v>
      </c>
      <c r="B7" s="3" t="inlineStr">
        <is>
          <t>Deposit</t>
        </is>
      </c>
      <c r="C7" s="3" t="n">
        <v>4451.13173450948</v>
      </c>
      <c r="D7" s="3" t="n"/>
    </row>
    <row r="8">
      <c r="A8" s="7" t="n">
        <v>46154</v>
      </c>
      <c r="B8" s="3" t="inlineStr">
        <is>
          <t>Deposit</t>
        </is>
      </c>
      <c r="C8" s="3" t="n">
        <v>2937.99816063765</v>
      </c>
      <c r="D8" s="3" t="n"/>
    </row>
    <row r="9">
      <c r="A9" s="3" t="n"/>
      <c r="B9" s="3" t="n"/>
      <c r="C9" s="3" t="n"/>
      <c r="D9" s="3" t="n"/>
    </row>
    <row r="10">
      <c r="A10" s="3" t="n"/>
      <c r="B10" s="3" t="n"/>
      <c r="C10" s="3" t="n"/>
      <c r="D10" s="3" t="n"/>
    </row>
    <row r="11">
      <c r="A11" s="3" t="n"/>
      <c r="B11" s="3" t="n"/>
      <c r="C11" s="3" t="n"/>
      <c r="D11" s="3" t="n"/>
    </row>
    <row r="12">
      <c r="A12" s="3" t="n"/>
      <c r="B12" s="3" t="n"/>
      <c r="C12" s="3" t="n"/>
      <c r="D12" s="3" t="n"/>
    </row>
    <row r="13">
      <c r="A13" s="3" t="n"/>
      <c r="B13" s="3" t="n"/>
      <c r="C13" s="3" t="n"/>
      <c r="D13" s="3" t="n"/>
    </row>
    <row r="14">
      <c r="A14" s="3" t="n"/>
      <c r="B14" s="3" t="n"/>
      <c r="C14" s="3" t="n"/>
      <c r="D14" s="3" t="n"/>
    </row>
    <row r="15">
      <c r="A15" s="3" t="n"/>
      <c r="B15" s="3" t="n"/>
      <c r="C15" s="3" t="n"/>
      <c r="D15" s="3" t="n"/>
    </row>
    <row r="16">
      <c r="A16" s="3" t="n"/>
      <c r="B16" s="3" t="n"/>
      <c r="C16" s="3" t="n"/>
      <c r="D16" s="3" t="n"/>
    </row>
    <row r="17">
      <c r="A17" s="3" t="n"/>
      <c r="B17" s="3" t="n"/>
      <c r="C17" s="3" t="n"/>
      <c r="D17" s="3" t="n"/>
    </row>
    <row r="18">
      <c r="A18" s="3" t="n"/>
      <c r="B18" s="3" t="n"/>
      <c r="C18" s="3" t="n"/>
      <c r="D18" s="3" t="n"/>
    </row>
    <row r="19">
      <c r="A19" s="3" t="n"/>
      <c r="B19" s="3" t="n"/>
      <c r="C19" s="3" t="n"/>
      <c r="D19" s="3" t="n"/>
    </row>
    <row r="20">
      <c r="A20" s="3" t="n"/>
      <c r="B20" s="3" t="n"/>
      <c r="C20" s="3" t="n"/>
      <c r="D20" s="3" t="n"/>
    </row>
    <row r="21">
      <c r="A21" s="3" t="n"/>
      <c r="B21" s="3" t="n"/>
      <c r="C21" s="3" t="n"/>
      <c r="D21" s="3" t="n"/>
    </row>
    <row r="22">
      <c r="A22" s="3" t="n"/>
      <c r="B22" s="3" t="n"/>
      <c r="C22" s="3" t="n"/>
      <c r="D22" s="3" t="n"/>
    </row>
    <row r="23">
      <c r="A23" s="3" t="n"/>
      <c r="B23" s="3" t="n"/>
      <c r="C23" s="3" t="n"/>
      <c r="D23" s="3" t="n"/>
    </row>
    <row r="24">
      <c r="A24" s="3" t="n"/>
      <c r="B24" s="3" t="n"/>
      <c r="C24" s="3" t="n"/>
      <c r="D24" s="3" t="n"/>
    </row>
    <row r="25">
      <c r="A25" s="3" t="n"/>
      <c r="B25" s="3" t="n"/>
      <c r="C25" s="3" t="n"/>
      <c r="D25" s="3" t="n"/>
    </row>
    <row r="26">
      <c r="A26" s="3" t="n"/>
      <c r="B26" s="3" t="n"/>
      <c r="C26" s="3" t="n"/>
      <c r="D26" s="3" t="n"/>
    </row>
    <row r="27">
      <c r="A27" s="3" t="n"/>
      <c r="B27" s="3" t="n"/>
      <c r="C27" s="3" t="n"/>
      <c r="D27" s="3" t="n"/>
    </row>
    <row r="28">
      <c r="A28" s="3" t="n"/>
      <c r="B28" s="3" t="n"/>
      <c r="C28" s="3" t="n"/>
      <c r="D28" s="3" t="n"/>
    </row>
    <row r="29">
      <c r="A29" s="3" t="n"/>
      <c r="B29" s="3" t="n"/>
      <c r="C29" s="3" t="n"/>
      <c r="D29" s="3" t="n"/>
    </row>
    <row r="30">
      <c r="A30" s="3" t="n"/>
      <c r="B30" s="3" t="n"/>
      <c r="C30" s="3" t="n"/>
      <c r="D30" s="3" t="n"/>
    </row>
    <row r="31">
      <c r="A31" s="3" t="n"/>
      <c r="B31" s="3" t="n"/>
      <c r="C31" s="3" t="n"/>
      <c r="D31" s="3" t="n"/>
    </row>
    <row r="32">
      <c r="A32" s="3" t="n"/>
      <c r="B32" s="3" t="n"/>
      <c r="C32" s="3" t="n"/>
      <c r="D32" s="3" t="n"/>
    </row>
    <row r="33">
      <c r="A33" s="3" t="n"/>
      <c r="B33" s="3" t="n"/>
      <c r="C33" s="3" t="n"/>
      <c r="D33" s="3" t="n"/>
    </row>
    <row r="34">
      <c r="A34" s="3" t="n"/>
      <c r="B34" s="3" t="n"/>
      <c r="C34" s="3" t="n"/>
      <c r="D34" s="3" t="n"/>
    </row>
    <row r="35">
      <c r="A35" s="3" t="n"/>
      <c r="B35" s="3" t="n"/>
      <c r="C35" s="3" t="n"/>
      <c r="D35" s="3" t="n"/>
    </row>
    <row r="36">
      <c r="A36" s="3" t="n"/>
      <c r="B36" s="3" t="n"/>
      <c r="C36" s="3" t="n"/>
      <c r="D36" s="3" t="n"/>
    </row>
    <row r="37">
      <c r="A37" s="3" t="n"/>
      <c r="B37" s="3" t="n"/>
      <c r="C37" s="3" t="n"/>
      <c r="D37" s="3" t="n"/>
    </row>
    <row r="38">
      <c r="A38" s="3" t="n"/>
      <c r="B38" s="3" t="n"/>
      <c r="C38" s="3" t="n"/>
      <c r="D38" s="3" t="n"/>
    </row>
    <row r="39">
      <c r="A39" s="3" t="n"/>
      <c r="B39" s="3" t="n"/>
      <c r="C39" s="3" t="n"/>
      <c r="D39" s="3" t="n"/>
    </row>
    <row r="40">
      <c r="A40" s="3" t="n"/>
      <c r="B40" s="3" t="n"/>
      <c r="C40" s="3" t="n"/>
      <c r="D40" s="3" t="n"/>
    </row>
    <row r="41">
      <c r="A41" s="3" t="n"/>
      <c r="B41" s="3" t="n"/>
      <c r="C41" s="3" t="n"/>
      <c r="D41" s="3" t="n"/>
    </row>
    <row r="42">
      <c r="A42" s="3" t="n"/>
      <c r="B42" s="3" t="n"/>
      <c r="C42" s="3" t="n"/>
      <c r="D42" s="3" t="n"/>
    </row>
    <row r="43">
      <c r="A43" s="3" t="n"/>
      <c r="B43" s="3" t="n"/>
      <c r="C43" s="3" t="n"/>
      <c r="D43" s="3" t="n"/>
    </row>
    <row r="44">
      <c r="A44" s="3" t="n"/>
      <c r="B44" s="3" t="n"/>
      <c r="C44" s="3" t="n"/>
      <c r="D44" s="3" t="n"/>
    </row>
    <row r="45">
      <c r="A45" s="3" t="n"/>
      <c r="B45" s="3" t="n"/>
      <c r="C45" s="3" t="n"/>
      <c r="D45" s="3" t="n"/>
    </row>
    <row r="46">
      <c r="A46" s="3" t="n"/>
      <c r="B46" s="3" t="n"/>
      <c r="C46" s="3" t="n"/>
      <c r="D46" s="3" t="n"/>
    </row>
    <row r="47">
      <c r="A47" s="3" t="n"/>
      <c r="B47" s="3" t="n"/>
      <c r="C47" s="3" t="n"/>
      <c r="D47" s="3" t="n"/>
    </row>
    <row r="48">
      <c r="A48" s="3" t="n"/>
      <c r="B48" s="3" t="n"/>
      <c r="C48" s="3" t="n"/>
      <c r="D48" s="3" t="n"/>
    </row>
    <row r="49">
      <c r="A49" s="3" t="n"/>
      <c r="B49" s="3" t="n"/>
      <c r="C49" s="3" t="n"/>
      <c r="D49" s="3" t="n"/>
    </row>
    <row r="50">
      <c r="A50" s="3" t="n"/>
      <c r="B50" s="3" t="n"/>
      <c r="C50" s="3" t="n"/>
      <c r="D50" s="3" t="n"/>
    </row>
    <row r="51">
      <c r="A51" s="3" t="n"/>
      <c r="B51" s="3" t="n"/>
      <c r="C51" s="3" t="n"/>
      <c r="D51" s="3" t="n"/>
    </row>
    <row r="52">
      <c r="A52" s="3" t="n"/>
      <c r="B52" s="3" t="n"/>
      <c r="C52" s="3" t="n"/>
      <c r="D52" s="3" t="n"/>
    </row>
    <row r="53">
      <c r="A53" s="3" t="n"/>
      <c r="B53" s="3" t="n"/>
      <c r="C53" s="3" t="n"/>
      <c r="D53" s="3" t="n"/>
    </row>
    <row r="54">
      <c r="A54" s="3" t="n"/>
      <c r="B54" s="3" t="n"/>
      <c r="C54" s="3" t="n"/>
      <c r="D54" s="3" t="n"/>
    </row>
    <row r="55">
      <c r="A55" s="3" t="n"/>
      <c r="B55" s="3" t="n"/>
      <c r="C55" s="3" t="n"/>
      <c r="D55" s="3" t="n"/>
    </row>
    <row r="56">
      <c r="A56" s="3" t="n"/>
      <c r="B56" s="3" t="n"/>
      <c r="C56" s="3" t="n"/>
      <c r="D56" s="3" t="n"/>
    </row>
    <row r="57">
      <c r="A57" s="3" t="n"/>
      <c r="B57" s="3" t="n"/>
      <c r="C57" s="3" t="n"/>
      <c r="D57" s="3" t="n"/>
    </row>
    <row r="58">
      <c r="A58" s="3" t="n"/>
      <c r="B58" s="3" t="n"/>
      <c r="C58" s="3" t="n"/>
      <c r="D58" s="3" t="n"/>
    </row>
    <row r="59">
      <c r="A59" s="3" t="n"/>
      <c r="B59" s="3" t="n"/>
      <c r="C59" s="3" t="n"/>
      <c r="D59" s="3" t="n"/>
    </row>
    <row r="60">
      <c r="A60" s="3" t="n"/>
      <c r="B60" s="3" t="n"/>
      <c r="C60" s="3" t="n"/>
      <c r="D60" s="3" t="n"/>
    </row>
    <row r="61">
      <c r="A61" s="3" t="n"/>
      <c r="B61" s="3" t="n"/>
      <c r="C61" s="3" t="n"/>
      <c r="D61" s="3" t="n"/>
    </row>
    <row r="62">
      <c r="A62" s="3" t="n"/>
      <c r="B62" s="3" t="n"/>
      <c r="C62" s="3" t="n"/>
      <c r="D62" s="3" t="n"/>
    </row>
    <row r="63">
      <c r="A63" s="3" t="n"/>
      <c r="B63" s="3" t="n"/>
      <c r="C63" s="3" t="n"/>
      <c r="D63" s="3" t="n"/>
    </row>
    <row r="64">
      <c r="A64" s="3" t="n"/>
      <c r="B64" s="3" t="n"/>
      <c r="C64" s="3" t="n"/>
      <c r="D64" s="3" t="n"/>
    </row>
    <row r="65">
      <c r="A65" s="3" t="n"/>
      <c r="B65" s="3" t="n"/>
      <c r="C65" s="3" t="n"/>
      <c r="D65" s="3" t="n"/>
    </row>
    <row r="66">
      <c r="A66" s="3" t="n"/>
      <c r="B66" s="3" t="n"/>
      <c r="C66" s="3" t="n"/>
      <c r="D66" s="3" t="n"/>
    </row>
    <row r="67">
      <c r="A67" s="3" t="n"/>
      <c r="B67" s="3" t="n"/>
      <c r="C67" s="3" t="n"/>
      <c r="D67" s="3" t="n"/>
    </row>
    <row r="68">
      <c r="A68" s="3" t="n"/>
      <c r="B68" s="3" t="n"/>
      <c r="C68" s="3" t="n"/>
      <c r="D68" s="3" t="n"/>
    </row>
    <row r="69">
      <c r="A69" s="3" t="n"/>
      <c r="B69" s="3" t="n"/>
      <c r="C69" s="3" t="n"/>
      <c r="D69" s="3" t="n"/>
    </row>
    <row r="70">
      <c r="A70" s="3" t="n"/>
      <c r="B70" s="3" t="n"/>
      <c r="C70" s="3" t="n"/>
      <c r="D70" s="3" t="n"/>
    </row>
    <row r="71">
      <c r="A71" s="3" t="n"/>
      <c r="B71" s="3" t="n"/>
      <c r="C71" s="3" t="n"/>
      <c r="D71" s="3" t="n"/>
    </row>
    <row r="72">
      <c r="A72" s="3" t="n"/>
      <c r="B72" s="3" t="n"/>
      <c r="C72" s="3" t="n"/>
      <c r="D72" s="3" t="n"/>
    </row>
    <row r="73">
      <c r="A73" s="3" t="n"/>
      <c r="B73" s="3" t="n"/>
      <c r="C73" s="3" t="n"/>
      <c r="D73" s="3" t="n"/>
    </row>
    <row r="74">
      <c r="A74" s="3" t="n"/>
      <c r="B74" s="3" t="n"/>
      <c r="C74" s="3" t="n"/>
      <c r="D74" s="3" t="n"/>
    </row>
    <row r="75">
      <c r="A75" s="3" t="n"/>
      <c r="B75" s="3" t="n"/>
      <c r="C75" s="3" t="n"/>
      <c r="D75" s="3" t="n"/>
    </row>
    <row r="76">
      <c r="A76" s="3" t="n"/>
      <c r="B76" s="3" t="n"/>
      <c r="C76" s="3" t="n"/>
      <c r="D76" s="3" t="n"/>
    </row>
    <row r="77">
      <c r="A77" s="3" t="n"/>
      <c r="B77" s="3" t="n"/>
      <c r="C77" s="3" t="n"/>
      <c r="D77" s="3" t="n"/>
    </row>
    <row r="78">
      <c r="A78" s="3" t="n"/>
      <c r="B78" s="3" t="n"/>
      <c r="C78" s="3" t="n"/>
      <c r="D78" s="3" t="n"/>
    </row>
    <row r="79">
      <c r="A79" s="3" t="n"/>
      <c r="B79" s="3" t="n"/>
      <c r="C79" s="3" t="n"/>
      <c r="D79" s="3" t="n"/>
    </row>
    <row r="80">
      <c r="A80" s="3" t="n"/>
      <c r="B80" s="3" t="n"/>
      <c r="C80" s="3" t="n"/>
      <c r="D80" s="3" t="n"/>
    </row>
    <row r="81">
      <c r="A81" s="3" t="n"/>
      <c r="B81" s="3" t="n"/>
      <c r="C81" s="3" t="n"/>
      <c r="D81" s="3" t="n"/>
    </row>
    <row r="82">
      <c r="A82" s="3" t="n"/>
      <c r="B82" s="3" t="n"/>
      <c r="C82" s="3" t="n"/>
      <c r="D82" s="3" t="n"/>
    </row>
    <row r="83">
      <c r="A83" s="3" t="n"/>
      <c r="B83" s="3" t="n"/>
      <c r="C83" s="3" t="n"/>
      <c r="D83" s="3" t="n"/>
    </row>
    <row r="84">
      <c r="A84" s="3" t="n"/>
      <c r="B84" s="3" t="n"/>
      <c r="C84" s="3" t="n"/>
      <c r="D84" s="3" t="n"/>
    </row>
    <row r="85">
      <c r="A85" s="3" t="n"/>
      <c r="B85" s="3" t="n"/>
      <c r="C85" s="3" t="n"/>
      <c r="D85" s="3" t="n"/>
    </row>
    <row r="86">
      <c r="A86" s="3" t="n"/>
      <c r="B86" s="3" t="n"/>
      <c r="C86" s="3" t="n"/>
      <c r="D86" s="3" t="n"/>
    </row>
    <row r="87">
      <c r="A87" s="3" t="n"/>
      <c r="B87" s="3" t="n"/>
      <c r="C87" s="3" t="n"/>
      <c r="D87" s="3" t="n"/>
    </row>
    <row r="88">
      <c r="A88" s="3" t="n"/>
      <c r="B88" s="3" t="n"/>
      <c r="C88" s="3" t="n"/>
      <c r="D88" s="3" t="n"/>
    </row>
    <row r="89">
      <c r="A89" s="3" t="n"/>
      <c r="B89" s="3" t="n"/>
      <c r="C89" s="3" t="n"/>
      <c r="D89" s="3" t="n"/>
    </row>
    <row r="90">
      <c r="A90" s="3" t="n"/>
      <c r="B90" s="3" t="n"/>
      <c r="C90" s="3" t="n"/>
      <c r="D90" s="3" t="n"/>
    </row>
    <row r="91">
      <c r="A91" s="3" t="n"/>
      <c r="B91" s="3" t="n"/>
      <c r="C91" s="3" t="n"/>
      <c r="D91" s="3" t="n"/>
    </row>
    <row r="92">
      <c r="A92" s="3" t="n"/>
      <c r="B92" s="3" t="n"/>
      <c r="C92" s="3" t="n"/>
      <c r="D92" s="3" t="n"/>
    </row>
    <row r="93">
      <c r="A93" s="3" t="n"/>
      <c r="B93" s="3" t="n"/>
      <c r="C93" s="3" t="n"/>
      <c r="D93" s="3" t="n"/>
    </row>
    <row r="94">
      <c r="A94" s="3" t="n"/>
      <c r="B94" s="3" t="n"/>
      <c r="C94" s="3" t="n"/>
      <c r="D94" s="3" t="n"/>
    </row>
    <row r="95">
      <c r="A95" s="3" t="n"/>
      <c r="B95" s="3" t="n"/>
      <c r="C95" s="3" t="n"/>
      <c r="D95" s="3" t="n"/>
    </row>
    <row r="96">
      <c r="A96" s="3" t="n"/>
      <c r="B96" s="3" t="n"/>
      <c r="C96" s="3" t="n"/>
      <c r="D96" s="3" t="n"/>
    </row>
    <row r="97">
      <c r="A97" s="3" t="n"/>
      <c r="B97" s="3" t="n"/>
      <c r="C97" s="3" t="n"/>
      <c r="D97" s="3" t="n"/>
    </row>
    <row r="98">
      <c r="A98" s="3" t="n"/>
      <c r="B98" s="3" t="n"/>
      <c r="C98" s="3" t="n"/>
      <c r="D98" s="3" t="n"/>
    </row>
    <row r="99">
      <c r="A99" s="3" t="n"/>
      <c r="B99" s="3" t="n"/>
      <c r="C99" s="3" t="n"/>
      <c r="D99" s="3" t="n"/>
    </row>
    <row r="100">
      <c r="A100" s="3" t="n"/>
      <c r="B100" s="3" t="n"/>
      <c r="C100" s="3" t="n"/>
      <c r="D100" s="3" t="n"/>
    </row>
    <row r="101">
      <c r="A101" s="3" t="n"/>
      <c r="B101" s="3" t="n"/>
      <c r="C101" s="3" t="n"/>
      <c r="D101" s="3" t="n"/>
    </row>
    <row r="102">
      <c r="A102" s="3" t="n"/>
      <c r="B102" s="3" t="n"/>
      <c r="C102" s="3" t="n"/>
      <c r="D102" s="3" t="n"/>
    </row>
    <row r="103">
      <c r="A103" s="3" t="n"/>
      <c r="B103" s="3" t="n"/>
      <c r="C103" s="3" t="n"/>
      <c r="D103" s="3" t="n"/>
    </row>
    <row r="104">
      <c r="A104" s="3" t="n"/>
      <c r="B104" s="3" t="n"/>
      <c r="C104" s="3" t="n"/>
      <c r="D104" s="3" t="n"/>
    </row>
    <row r="105">
      <c r="A105" s="3" t="n"/>
      <c r="B105" s="3" t="n"/>
      <c r="C105" s="3" t="n"/>
      <c r="D105" s="3" t="n"/>
    </row>
    <row r="106">
      <c r="A106" s="3" t="n"/>
      <c r="B106" s="3" t="n"/>
      <c r="C106" s="3" t="n"/>
      <c r="D106" s="3" t="n"/>
    </row>
    <row r="107">
      <c r="A107" s="3" t="n"/>
      <c r="B107" s="3" t="n"/>
      <c r="C107" s="3" t="n"/>
      <c r="D107" s="3" t="n"/>
    </row>
    <row r="108">
      <c r="A108" s="3" t="n"/>
      <c r="B108" s="3" t="n"/>
      <c r="C108" s="3" t="n"/>
      <c r="D108" s="3" t="n"/>
    </row>
    <row r="109">
      <c r="A109" s="3" t="n"/>
      <c r="B109" s="3" t="n"/>
      <c r="C109" s="3" t="n"/>
      <c r="D109" s="3" t="n"/>
    </row>
    <row r="110">
      <c r="A110" s="3" t="n"/>
      <c r="B110" s="3" t="n"/>
      <c r="C110" s="3" t="n"/>
      <c r="D110" s="3" t="n"/>
    </row>
    <row r="111">
      <c r="A111" s="3" t="n"/>
      <c r="B111" s="3" t="n"/>
      <c r="C111" s="3" t="n"/>
      <c r="D111" s="3" t="n"/>
    </row>
    <row r="112">
      <c r="A112" s="3" t="n"/>
      <c r="B112" s="3" t="n"/>
      <c r="C112" s="3" t="n"/>
      <c r="D112" s="3" t="n"/>
    </row>
    <row r="113">
      <c r="A113" s="3" t="n"/>
      <c r="B113" s="3" t="n"/>
      <c r="C113" s="3" t="n"/>
      <c r="D113" s="3" t="n"/>
    </row>
    <row r="114">
      <c r="A114" s="3" t="n"/>
      <c r="B114" s="3" t="n"/>
      <c r="C114" s="3" t="n"/>
      <c r="D114" s="3" t="n"/>
    </row>
    <row r="115">
      <c r="A115" s="3" t="n"/>
      <c r="B115" s="3" t="n"/>
      <c r="C115" s="3" t="n"/>
      <c r="D115" s="3" t="n"/>
    </row>
    <row r="116">
      <c r="A116" s="3" t="n"/>
      <c r="B116" s="3" t="n"/>
      <c r="C116" s="3" t="n"/>
      <c r="D116" s="3" t="n"/>
    </row>
    <row r="117">
      <c r="A117" s="3" t="n"/>
      <c r="B117" s="3" t="n"/>
      <c r="C117" s="3" t="n"/>
      <c r="D117" s="3" t="n"/>
    </row>
    <row r="118">
      <c r="A118" s="3" t="n"/>
      <c r="B118" s="3" t="n"/>
      <c r="C118" s="3" t="n"/>
      <c r="D118" s="3" t="n"/>
    </row>
    <row r="119">
      <c r="A119" s="3" t="n"/>
      <c r="B119" s="3" t="n"/>
      <c r="C119" s="3" t="n"/>
      <c r="D119" s="3" t="n"/>
    </row>
    <row r="120">
      <c r="A120" s="3" t="n"/>
      <c r="B120" s="3" t="n"/>
      <c r="C120" s="3" t="n"/>
      <c r="D120" s="3" t="n"/>
    </row>
    <row r="121">
      <c r="A121" s="3" t="n"/>
      <c r="B121" s="3" t="n"/>
      <c r="C121" s="3" t="n"/>
      <c r="D121" s="3" t="n"/>
    </row>
    <row r="122">
      <c r="A122" s="3" t="n"/>
      <c r="B122" s="3" t="n"/>
      <c r="C122" s="3" t="n"/>
      <c r="D122" s="3" t="n"/>
    </row>
    <row r="123">
      <c r="A123" s="3" t="n"/>
      <c r="B123" s="3" t="n"/>
      <c r="C123" s="3" t="n"/>
      <c r="D123" s="3" t="n"/>
    </row>
    <row r="124">
      <c r="A124" s="3" t="n"/>
      <c r="B124" s="3" t="n"/>
      <c r="C124" s="3" t="n"/>
      <c r="D124" s="3" t="n"/>
    </row>
    <row r="125">
      <c r="A125" s="3" t="n"/>
      <c r="B125" s="3" t="n"/>
      <c r="C125" s="3" t="n"/>
      <c r="D125" s="3" t="n"/>
    </row>
    <row r="126">
      <c r="A126" s="3" t="n"/>
      <c r="B126" s="3" t="n"/>
      <c r="C126" s="3" t="n"/>
      <c r="D126" s="3" t="n"/>
    </row>
    <row r="127">
      <c r="A127" s="3" t="n"/>
      <c r="B127" s="3" t="n"/>
      <c r="C127" s="3" t="n"/>
      <c r="D127" s="3" t="n"/>
    </row>
    <row r="128">
      <c r="A128" s="3" t="n"/>
      <c r="B128" s="3" t="n"/>
      <c r="C128" s="3" t="n"/>
      <c r="D128" s="3" t="n"/>
    </row>
    <row r="129">
      <c r="A129" s="3" t="n"/>
      <c r="B129" s="3" t="n"/>
      <c r="C129" s="3" t="n"/>
      <c r="D129" s="3" t="n"/>
    </row>
    <row r="130">
      <c r="A130" s="3" t="n"/>
      <c r="B130" s="3" t="n"/>
      <c r="C130" s="3" t="n"/>
      <c r="D130" s="3" t="n"/>
    </row>
    <row r="131">
      <c r="A131" s="3" t="n"/>
      <c r="B131" s="3" t="n"/>
      <c r="C131" s="3" t="n"/>
      <c r="D131" s="3" t="n"/>
    </row>
    <row r="132">
      <c r="A132" s="3" t="n"/>
      <c r="B132" s="3" t="n"/>
      <c r="C132" s="3" t="n"/>
      <c r="D132" s="3" t="n"/>
    </row>
    <row r="133">
      <c r="A133" s="3" t="n"/>
      <c r="B133" s="3" t="n"/>
      <c r="C133" s="3" t="n"/>
      <c r="D133" s="3" t="n"/>
    </row>
    <row r="134">
      <c r="A134" s="3" t="n"/>
      <c r="B134" s="3" t="n"/>
      <c r="C134" s="3" t="n"/>
      <c r="D134" s="3" t="n"/>
    </row>
    <row r="135">
      <c r="A135" s="3" t="n"/>
      <c r="B135" s="3" t="n"/>
      <c r="C135" s="3" t="n"/>
      <c r="D135" s="3" t="n"/>
    </row>
    <row r="136">
      <c r="A136" s="3" t="n"/>
      <c r="B136" s="3" t="n"/>
      <c r="C136" s="3" t="n"/>
      <c r="D136" s="3" t="n"/>
    </row>
    <row r="137">
      <c r="A137" s="3" t="n"/>
      <c r="B137" s="3" t="n"/>
      <c r="C137" s="3" t="n"/>
      <c r="D137" s="3" t="n"/>
    </row>
    <row r="138">
      <c r="A138" s="3" t="n"/>
      <c r="B138" s="3" t="n"/>
      <c r="C138" s="3" t="n"/>
      <c r="D138" s="3" t="n"/>
    </row>
    <row r="139">
      <c r="A139" s="3" t="n"/>
      <c r="B139" s="3" t="n"/>
      <c r="C139" s="3" t="n"/>
      <c r="D139" s="3" t="n"/>
    </row>
    <row r="140">
      <c r="A140" s="3" t="n"/>
      <c r="B140" s="3" t="n"/>
      <c r="C140" s="3" t="n"/>
      <c r="D140" s="3" t="n"/>
    </row>
    <row r="141">
      <c r="A141" s="3" t="n"/>
      <c r="B141" s="3" t="n"/>
      <c r="C141" s="3" t="n"/>
      <c r="D141" s="3" t="n"/>
    </row>
    <row r="142">
      <c r="A142" s="3" t="n"/>
      <c r="B142" s="3" t="n"/>
      <c r="C142" s="3" t="n"/>
      <c r="D142" s="3" t="n"/>
    </row>
    <row r="143">
      <c r="A143" s="3" t="n"/>
      <c r="B143" s="3" t="n"/>
      <c r="C143" s="3" t="n"/>
      <c r="D143" s="3" t="n"/>
    </row>
    <row r="144">
      <c r="A144" s="3" t="n"/>
      <c r="B144" s="3" t="n"/>
      <c r="C144" s="3" t="n"/>
      <c r="D144" s="3" t="n"/>
    </row>
    <row r="145">
      <c r="A145" s="3" t="n"/>
      <c r="B145" s="3" t="n"/>
      <c r="C145" s="3" t="n"/>
      <c r="D145" s="3" t="n"/>
    </row>
    <row r="146">
      <c r="A146" s="3" t="n"/>
      <c r="B146" s="3" t="n"/>
      <c r="C146" s="3" t="n"/>
      <c r="D146" s="3" t="n"/>
    </row>
    <row r="147">
      <c r="A147" s="3" t="n"/>
      <c r="B147" s="3" t="n"/>
      <c r="C147" s="3" t="n"/>
      <c r="D147" s="3" t="n"/>
    </row>
    <row r="148">
      <c r="A148" s="3" t="n"/>
      <c r="B148" s="3" t="n"/>
      <c r="C148" s="3" t="n"/>
      <c r="D148" s="3" t="n"/>
    </row>
    <row r="149">
      <c r="A149" s="3" t="n"/>
      <c r="B149" s="3" t="n"/>
      <c r="C149" s="3" t="n"/>
      <c r="D149" s="3" t="n"/>
    </row>
    <row r="150">
      <c r="A150" s="3" t="n"/>
      <c r="B150" s="3" t="n"/>
      <c r="C150" s="3" t="n"/>
      <c r="D150" s="3" t="n"/>
    </row>
    <row r="151">
      <c r="A151" s="3" t="n"/>
      <c r="B151" s="3" t="n"/>
      <c r="C151" s="3" t="n"/>
      <c r="D151" s="3" t="n"/>
    </row>
    <row r="152">
      <c r="A152" s="3" t="n"/>
      <c r="B152" s="3" t="n"/>
      <c r="C152" s="3" t="n"/>
      <c r="D152" s="3" t="n"/>
    </row>
    <row r="153">
      <c r="A153" s="3" t="n"/>
      <c r="B153" s="3" t="n"/>
      <c r="C153" s="3" t="n"/>
      <c r="D153" s="3" t="n"/>
    </row>
    <row r="154">
      <c r="A154" s="3" t="n"/>
      <c r="B154" s="3" t="n"/>
      <c r="C154" s="3" t="n"/>
      <c r="D154" s="3" t="n"/>
    </row>
    <row r="155">
      <c r="A155" s="3" t="n"/>
      <c r="B155" s="3" t="n"/>
      <c r="C155" s="3" t="n"/>
      <c r="D155" s="3" t="n"/>
    </row>
    <row r="156">
      <c r="A156" s="3" t="n"/>
      <c r="B156" s="3" t="n"/>
      <c r="C156" s="3" t="n"/>
      <c r="D156" s="3" t="n"/>
    </row>
    <row r="157">
      <c r="A157" s="3" t="n"/>
      <c r="B157" s="3" t="n"/>
      <c r="C157" s="3" t="n"/>
      <c r="D157" s="3" t="n"/>
    </row>
    <row r="158">
      <c r="A158" s="3" t="n"/>
      <c r="B158" s="3" t="n"/>
      <c r="C158" s="3" t="n"/>
      <c r="D158" s="3" t="n"/>
    </row>
    <row r="159">
      <c r="A159" s="3" t="n"/>
      <c r="B159" s="3" t="n"/>
      <c r="C159" s="3" t="n"/>
      <c r="D159" s="3" t="n"/>
    </row>
    <row r="160">
      <c r="A160" s="3" t="n"/>
      <c r="B160" s="3" t="n"/>
      <c r="C160" s="3" t="n"/>
      <c r="D160" s="3" t="n"/>
    </row>
    <row r="161">
      <c r="A161" s="3" t="n"/>
      <c r="B161" s="3" t="n"/>
      <c r="C161" s="3" t="n"/>
      <c r="D161" s="3" t="n"/>
    </row>
    <row r="162">
      <c r="A162" s="3" t="n"/>
      <c r="B162" s="3" t="n"/>
      <c r="C162" s="3" t="n"/>
      <c r="D162" s="3" t="n"/>
    </row>
    <row r="163">
      <c r="A163" s="3" t="n"/>
      <c r="B163" s="3" t="n"/>
      <c r="C163" s="3" t="n"/>
      <c r="D163" s="3" t="n"/>
    </row>
    <row r="164">
      <c r="A164" s="3" t="n"/>
      <c r="B164" s="3" t="n"/>
      <c r="C164" s="3" t="n"/>
      <c r="D164" s="3" t="n"/>
    </row>
    <row r="165">
      <c r="A165" s="3" t="n"/>
      <c r="B165" s="3" t="n"/>
      <c r="C165" s="3" t="n"/>
      <c r="D165" s="3" t="n"/>
    </row>
    <row r="166">
      <c r="A166" s="3" t="n"/>
      <c r="B166" s="3" t="n"/>
      <c r="C166" s="3" t="n"/>
      <c r="D166" s="3" t="n"/>
    </row>
    <row r="167">
      <c r="A167" s="3" t="n"/>
      <c r="B167" s="3" t="n"/>
      <c r="C167" s="3" t="n"/>
      <c r="D167" s="3" t="n"/>
    </row>
    <row r="168">
      <c r="A168" s="3" t="n"/>
      <c r="B168" s="3" t="n"/>
      <c r="C168" s="3" t="n"/>
      <c r="D168" s="3" t="n"/>
    </row>
    <row r="169">
      <c r="A169" s="3" t="n"/>
      <c r="B169" s="3" t="n"/>
      <c r="C169" s="3" t="n"/>
      <c r="D169" s="3" t="n"/>
    </row>
    <row r="170">
      <c r="A170" s="3" t="n"/>
      <c r="B170" s="3" t="n"/>
      <c r="C170" s="3" t="n"/>
      <c r="D170" s="3" t="n"/>
    </row>
    <row r="171">
      <c r="A171" s="3" t="n"/>
      <c r="B171" s="3" t="n"/>
      <c r="C171" s="3" t="n"/>
      <c r="D171" s="3" t="n"/>
    </row>
    <row r="172">
      <c r="A172" s="3" t="n"/>
      <c r="B172" s="3" t="n"/>
      <c r="C172" s="3" t="n"/>
      <c r="D172" s="3" t="n"/>
    </row>
    <row r="173">
      <c r="A173" s="3" t="n"/>
      <c r="B173" s="3" t="n"/>
      <c r="C173" s="3" t="n"/>
      <c r="D173" s="3" t="n"/>
    </row>
    <row r="174">
      <c r="A174" s="3" t="n"/>
      <c r="B174" s="3" t="n"/>
      <c r="C174" s="3" t="n"/>
      <c r="D174" s="3" t="n"/>
    </row>
    <row r="175">
      <c r="A175" s="3" t="n"/>
      <c r="B175" s="3" t="n"/>
      <c r="C175" s="3" t="n"/>
      <c r="D175" s="3" t="n"/>
    </row>
    <row r="176">
      <c r="A176" s="3" t="n"/>
      <c r="B176" s="3" t="n"/>
      <c r="C176" s="3" t="n"/>
      <c r="D176" s="3" t="n"/>
    </row>
    <row r="177">
      <c r="A177" s="3" t="n"/>
      <c r="B177" s="3" t="n"/>
      <c r="C177" s="3" t="n"/>
      <c r="D177" s="3" t="n"/>
    </row>
    <row r="178">
      <c r="A178" s="3" t="n"/>
      <c r="B178" s="3" t="n"/>
      <c r="C178" s="3" t="n"/>
      <c r="D178" s="3" t="n"/>
    </row>
    <row r="179">
      <c r="A179" s="3" t="n"/>
      <c r="B179" s="3" t="n"/>
      <c r="C179" s="3" t="n"/>
      <c r="D179" s="3" t="n"/>
    </row>
    <row r="180">
      <c r="A180" s="3" t="n"/>
      <c r="B180" s="3" t="n"/>
      <c r="C180" s="3" t="n"/>
      <c r="D180" s="3" t="n"/>
    </row>
    <row r="181">
      <c r="A181" s="3" t="n"/>
      <c r="B181" s="3" t="n"/>
      <c r="C181" s="3" t="n"/>
      <c r="D181" s="3" t="n"/>
    </row>
    <row r="182">
      <c r="A182" s="3" t="n"/>
      <c r="B182" s="3" t="n"/>
      <c r="C182" s="3" t="n"/>
      <c r="D182" s="3" t="n"/>
    </row>
    <row r="183">
      <c r="A183" s="3" t="n"/>
      <c r="B183" s="3" t="n"/>
      <c r="C183" s="3" t="n"/>
      <c r="D183" s="3" t="n"/>
    </row>
    <row r="184">
      <c r="A184" s="3" t="n"/>
      <c r="B184" s="3" t="n"/>
      <c r="C184" s="3" t="n"/>
      <c r="D184" s="3" t="n"/>
    </row>
    <row r="185">
      <c r="A185" s="3" t="n"/>
      <c r="B185" s="3" t="n"/>
      <c r="C185" s="3" t="n"/>
      <c r="D185" s="3" t="n"/>
    </row>
    <row r="186">
      <c r="A186" s="3" t="n"/>
      <c r="B186" s="3" t="n"/>
      <c r="C186" s="3" t="n"/>
      <c r="D186" s="3" t="n"/>
    </row>
    <row r="187">
      <c r="A187" s="3" t="n"/>
      <c r="B187" s="3" t="n"/>
      <c r="C187" s="3" t="n"/>
      <c r="D187" s="3" t="n"/>
    </row>
    <row r="188">
      <c r="A188" s="3" t="n"/>
      <c r="B188" s="3" t="n"/>
      <c r="C188" s="3" t="n"/>
      <c r="D188" s="3" t="n"/>
    </row>
    <row r="189">
      <c r="A189" s="3" t="n"/>
      <c r="B189" s="3" t="n"/>
      <c r="C189" s="3" t="n"/>
      <c r="D189" s="3" t="n"/>
    </row>
    <row r="190">
      <c r="A190" s="3" t="n"/>
      <c r="B190" s="3" t="n"/>
      <c r="C190" s="3" t="n"/>
      <c r="D190" s="3" t="n"/>
    </row>
    <row r="191">
      <c r="A191" s="3" t="n"/>
      <c r="B191" s="3" t="n"/>
      <c r="C191" s="3" t="n"/>
      <c r="D191" s="3" t="n"/>
    </row>
    <row r="192">
      <c r="A192" s="3" t="n"/>
      <c r="B192" s="3" t="n"/>
      <c r="C192" s="3" t="n"/>
      <c r="D192" s="3" t="n"/>
    </row>
    <row r="193">
      <c r="A193" s="3" t="n"/>
      <c r="B193" s="3" t="n"/>
      <c r="C193" s="3" t="n"/>
      <c r="D193" s="3" t="n"/>
    </row>
    <row r="194">
      <c r="A194" s="3" t="n"/>
      <c r="B194" s="3" t="n"/>
      <c r="C194" s="3" t="n"/>
      <c r="D194" s="3" t="n"/>
    </row>
    <row r="195">
      <c r="A195" s="3" t="n"/>
      <c r="B195" s="3" t="n"/>
      <c r="C195" s="3" t="n"/>
      <c r="D195" s="3" t="n"/>
    </row>
    <row r="196">
      <c r="A196" s="3" t="n"/>
      <c r="B196" s="3" t="n"/>
      <c r="C196" s="3" t="n"/>
      <c r="D196" s="3" t="n"/>
    </row>
    <row r="197">
      <c r="A197" s="3" t="n"/>
      <c r="B197" s="3" t="n"/>
      <c r="C197" s="3" t="n"/>
      <c r="D197" s="3" t="n"/>
    </row>
    <row r="198">
      <c r="A198" s="3" t="n"/>
      <c r="B198" s="3" t="n"/>
      <c r="C198" s="3" t="n"/>
      <c r="D198" s="3" t="n"/>
    </row>
    <row r="199">
      <c r="A199" s="3" t="n"/>
      <c r="B199" s="3" t="n"/>
      <c r="C199" s="3" t="n"/>
      <c r="D199" s="3" t="n"/>
    </row>
    <row r="200">
      <c r="A200" s="3" t="n"/>
      <c r="B200" s="3" t="n"/>
      <c r="C200" s="3" t="n"/>
      <c r="D200" s="3" t="n"/>
    </row>
    <row r="201">
      <c r="A201" s="3" t="n"/>
      <c r="B201" s="3" t="n"/>
      <c r="C201" s="3" t="n"/>
      <c r="D201" s="3" t="n"/>
    </row>
    <row r="202">
      <c r="A202" s="3" t="n"/>
      <c r="B202" s="3" t="n"/>
      <c r="C202" s="3" t="n"/>
      <c r="D202" s="3" t="n"/>
    </row>
    <row r="203">
      <c r="A203" s="3" t="n"/>
      <c r="B203" s="3" t="n"/>
      <c r="C203" s="3" t="n"/>
      <c r="D203" s="3" t="n"/>
    </row>
  </sheetData>
  <mergeCells count="1">
    <mergeCell ref="A1:D1"/>
  </mergeCells>
  <dataValidations count="1">
    <dataValidation sqref="B4:B203" showDropDown="0" showInputMessage="1" showErrorMessage="1" allowBlank="1" type="list">
      <formula1>"Deposit,Withdrawal"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F4" sqref="F4"/>
    </sheetView>
  </sheetViews>
  <sheetFormatPr baseColWidth="8" defaultRowHeight="14.6"/>
  <cols>
    <col width="16.69140625" customWidth="1" min="1" max="9"/>
  </cols>
  <sheetData>
    <row r="1" ht="18.45" customHeight="1">
      <c r="A1" s="10" t="inlineStr">
        <is>
          <t>Current Holdings</t>
        </is>
      </c>
    </row>
    <row r="3">
      <c r="A3" s="2" t="inlineStr">
        <is>
          <t>Level</t>
        </is>
      </c>
      <c r="B3" s="2" t="inlineStr">
        <is>
          <t>Ticker</t>
        </is>
      </c>
      <c r="C3" s="2" t="inlineStr">
        <is>
          <t>Qty</t>
        </is>
      </c>
      <c r="D3" s="2" t="inlineStr">
        <is>
          <t>Cost Basis</t>
        </is>
      </c>
      <c r="E3" s="2" t="inlineStr">
        <is>
          <t>Avg Cost</t>
        </is>
      </c>
      <c r="F3" s="2" t="inlineStr">
        <is>
          <t>Last Price</t>
        </is>
      </c>
      <c r="G3" s="2" t="inlineStr">
        <is>
          <t>Market Value</t>
        </is>
      </c>
      <c r="H3" s="2" t="inlineStr">
        <is>
          <t>Unrealized PnL</t>
        </is>
      </c>
      <c r="I3" s="2" t="inlineStr">
        <is>
          <t>Weight</t>
        </is>
      </c>
    </row>
    <row r="4">
      <c r="A4" t="inlineStr">
        <is>
          <t>L0+</t>
        </is>
      </c>
      <c r="B4" t="inlineStr">
        <is>
          <t>JEPQ</t>
        </is>
      </c>
      <c r="C4" s="5">
        <f>SUMIFS(Transactions!$H:$H,Transactions!$B:$B,B4,Transactions!$C:$C,A4)</f>
        <v/>
      </c>
      <c r="D4" s="4">
        <f>IFERROR(LOOKUP(2,1/((Transactions!$B$4:$B$206=B4)*(Transactions!$C$4:$C$206=A4)),Transactions!$O$4:$O$206),0)</f>
        <v/>
      </c>
      <c r="E4" s="4">
        <f>IF(C4=0,0,D4/C4)</f>
        <v/>
      </c>
      <c r="F4" s="4">
        <f>IFERROR(VLOOKUP(B4,Prices!$A$4:$B$9,2,FALSE),0)</f>
        <v/>
      </c>
      <c r="G4" s="4">
        <f>C4*F4</f>
        <v/>
      </c>
      <c r="H4" s="4">
        <f>G4-D4</f>
        <v/>
      </c>
      <c r="I4" s="6">
        <f>IF($B$16=0,0,G4/$B$16)</f>
        <v/>
      </c>
    </row>
    <row r="5">
      <c r="A5" t="inlineStr">
        <is>
          <t>L0+</t>
        </is>
      </c>
      <c r="B5" t="inlineStr">
        <is>
          <t>QUAL</t>
        </is>
      </c>
      <c r="C5" s="5">
        <f>SUMIFS(Transactions!$H:$H,Transactions!$B:$B,B5,Transactions!$C:$C,A5)</f>
        <v/>
      </c>
      <c r="D5" s="4">
        <f>IFERROR(LOOKUP(2,1/((Transactions!$B$4:$B$206=B5)*(Transactions!$C$4:$C$206=A5)),Transactions!$O$4:$O$206),0)</f>
        <v/>
      </c>
      <c r="E5" s="4">
        <f>IF(C5=0,0,D5/C5)</f>
        <v/>
      </c>
      <c r="F5" s="4">
        <f>IFERROR(VLOOKUP(B5,Prices!$A$4:$B$9,2,FALSE),0)</f>
        <v/>
      </c>
      <c r="G5" s="4">
        <f>C5*F5</f>
        <v/>
      </c>
      <c r="H5" s="4">
        <f>G5-D5</f>
        <v/>
      </c>
      <c r="I5" s="6">
        <f>IF($B$16=0,0,G5/$B$16)</f>
        <v/>
      </c>
    </row>
    <row r="6">
      <c r="A6" t="inlineStr">
        <is>
          <t>L1</t>
        </is>
      </c>
      <c r="B6" t="inlineStr">
        <is>
          <t>SPY</t>
        </is>
      </c>
      <c r="C6" s="5">
        <f>SUMIFS(Transactions!$H:$H,Transactions!$B:$B,B6,Transactions!$C:$C,A6)</f>
        <v/>
      </c>
      <c r="D6" s="4">
        <f>IFERROR(LOOKUP(2,1/((Transactions!$B$4:$B$206=B6)*(Transactions!$C$4:$C$206=A6)),Transactions!$O$4:$O$206),0)</f>
        <v/>
      </c>
      <c r="E6" s="4">
        <f>IF(C6=0,0,D6/C6)</f>
        <v/>
      </c>
      <c r="F6" s="4">
        <f>IFERROR(VLOOKUP(B6,Prices!$A$4:$B$9,2,FALSE),0)</f>
        <v/>
      </c>
      <c r="G6" s="4">
        <f>C6*F6</f>
        <v/>
      </c>
      <c r="H6" s="4">
        <f>G6-D6</f>
        <v/>
      </c>
      <c r="I6" s="6">
        <f>IF($B$16=0,0,G6/$B$16)</f>
        <v/>
      </c>
    </row>
    <row r="7">
      <c r="A7" t="inlineStr">
        <is>
          <t>L1</t>
        </is>
      </c>
      <c r="B7" t="inlineStr">
        <is>
          <t>QQQ</t>
        </is>
      </c>
      <c r="C7" s="5">
        <f>SUMIFS(Transactions!$H:$H,Transactions!$B:$B,B7,Transactions!$C:$C,A7)</f>
        <v/>
      </c>
      <c r="D7" s="4">
        <f>IFERROR(LOOKUP(2,1/((Transactions!$B$4:$B$206=B7)*(Transactions!$C$4:$C$206=A7)),Transactions!$O$4:$O$206),0)</f>
        <v/>
      </c>
      <c r="E7" s="4">
        <f>IF(C7=0,0,D7/C7)</f>
        <v/>
      </c>
      <c r="F7" s="4">
        <f>IFERROR(VLOOKUP(B7,Prices!$A$4:$B$9,2,FALSE),0)</f>
        <v/>
      </c>
      <c r="G7" s="4">
        <f>C7*F7</f>
        <v/>
      </c>
      <c r="H7" s="4">
        <f>G7-D7</f>
        <v/>
      </c>
      <c r="I7" s="6">
        <f>IF($B$16=0,0,G7/$B$16)</f>
        <v/>
      </c>
    </row>
    <row r="8">
      <c r="A8" t="inlineStr">
        <is>
          <t>L1</t>
        </is>
      </c>
      <c r="B8" t="inlineStr">
        <is>
          <t>SOXX</t>
        </is>
      </c>
      <c r="C8" s="5">
        <f>SUMIFS(Transactions!$H:$H,Transactions!$B:$B,B8,Transactions!$C:$C,A8)</f>
        <v/>
      </c>
      <c r="D8" s="4">
        <f>IFERROR(LOOKUP(2,1/((Transactions!$B$4:$B$206=B8)*(Transactions!$C$4:$C$206=A8)),Transactions!$O$4:$O$206),0)</f>
        <v/>
      </c>
      <c r="E8" s="4">
        <f>IF(C8=0,0,D8/C8)</f>
        <v/>
      </c>
      <c r="F8" s="4">
        <f>IFERROR(VLOOKUP(B8,Prices!$A$4:$B$9,2,FALSE),0)</f>
        <v/>
      </c>
      <c r="G8" s="4">
        <f>C8*F8</f>
        <v/>
      </c>
      <c r="H8" s="4">
        <f>G8-D8</f>
        <v/>
      </c>
      <c r="I8" s="6">
        <f>IF($B$16=0,0,G8/$B$16)</f>
        <v/>
      </c>
    </row>
    <row r="9">
      <c r="A9" t="inlineStr">
        <is>
          <t>L2</t>
        </is>
      </c>
      <c r="B9" t="inlineStr">
        <is>
          <t>QQQ</t>
        </is>
      </c>
      <c r="C9" s="5">
        <f>SUMIFS(Transactions!$H:$H,Transactions!$B:$B,B9,Transactions!$C:$C,A9)</f>
        <v/>
      </c>
      <c r="D9" s="4">
        <f>IFERROR(LOOKUP(2,1/((Transactions!$B$4:$B$206=B9)*(Transactions!$C$4:$C$206=A9)),Transactions!$O$4:$O$206),0)</f>
        <v/>
      </c>
      <c r="E9" s="4">
        <f>IF(C9=0,0,D9/C9)</f>
        <v/>
      </c>
      <c r="F9" s="4">
        <f>IFERROR(VLOOKUP(B9,Prices!$A$4:$B$9,2,FALSE),0)</f>
        <v/>
      </c>
      <c r="G9" s="4">
        <f>C9*F9</f>
        <v/>
      </c>
      <c r="H9" s="4">
        <f>G9-D9</f>
        <v/>
      </c>
      <c r="I9" s="6">
        <f>IF($B$16=0,0,G9/$B$16)</f>
        <v/>
      </c>
    </row>
    <row r="10">
      <c r="A10" t="inlineStr">
        <is>
          <t>L2</t>
        </is>
      </c>
      <c r="B10" t="inlineStr">
        <is>
          <t>SOXX</t>
        </is>
      </c>
      <c r="C10" s="5">
        <f>SUMIFS(Transactions!$H:$H,Transactions!$B:$B,B10,Transactions!$C:$C,A10)</f>
        <v/>
      </c>
      <c r="D10" s="4">
        <f>IFERROR(LOOKUP(2,1/((Transactions!$B$4:$B$206=B10)*(Transactions!$C$4:$C$206=A10)),Transactions!$O$4:$O$206),0)</f>
        <v/>
      </c>
      <c r="E10" s="4">
        <f>IF(C10=0,0,D10/C10)</f>
        <v/>
      </c>
      <c r="F10" s="4">
        <f>IFERROR(VLOOKUP(B10,Prices!$A$4:$B$9,2,FALSE),0)</f>
        <v/>
      </c>
      <c r="G10" s="4">
        <f>C10*F10</f>
        <v/>
      </c>
      <c r="H10" s="4">
        <f>G10-D10</f>
        <v/>
      </c>
      <c r="I10" s="6">
        <f>IF($B$16=0,0,G10/$B$16)</f>
        <v/>
      </c>
    </row>
    <row r="11">
      <c r="A11" t="inlineStr">
        <is>
          <t>L2</t>
        </is>
      </c>
      <c r="B11" t="inlineStr">
        <is>
          <t>TQQQ</t>
        </is>
      </c>
      <c r="C11" s="5">
        <f>SUMIFS(Transactions!$H:$H,Transactions!$B:$B,B11,Transactions!$C:$C,A11)</f>
        <v/>
      </c>
      <c r="D11" s="4">
        <f>IFERROR(LOOKUP(2,1/((Transactions!$B$4:$B$206=B11)*(Transactions!$C$4:$C$206=A11)),Transactions!$O$4:$O$206),0)</f>
        <v/>
      </c>
      <c r="E11" s="4">
        <f>IF(C11=0,0,D11/C11)</f>
        <v/>
      </c>
      <c r="F11" s="4">
        <f>IFERROR(VLOOKUP(B11,Prices!$A$4:$B$9,2,FALSE),0)</f>
        <v/>
      </c>
      <c r="G11" s="4">
        <f>C11*F11</f>
        <v/>
      </c>
      <c r="H11" s="4">
        <f>G11-D11</f>
        <v/>
      </c>
      <c r="I11" s="6">
        <f>IF($B$16=0,0,G11/$B$16)</f>
        <v/>
      </c>
    </row>
    <row r="15">
      <c r="A15" t="inlineStr">
        <is>
          <t>Cash</t>
        </is>
      </c>
      <c r="B15" s="4">
        <f>Config!$B$4+SUM(Transactions!$J$4:$J$206)+SUMIFS(Cash_Flow!$C:$C,Cash_Flow!$B:$B,"Deposit")-SUMIFS(Cash_Flow!$C:$C,Cash_Flow!$B:$B,"Withdrawal")</f>
        <v/>
      </c>
    </row>
    <row r="16">
      <c r="A16" t="inlineStr">
        <is>
          <t>Total Equity</t>
        </is>
      </c>
      <c r="B16" s="4">
        <f>SUM(G4:G11)+B15</f>
        <v/>
      </c>
    </row>
  </sheetData>
  <mergeCells count="1">
    <mergeCell ref="A1:I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03"/>
  <sheetViews>
    <sheetView topLeftCell="A141" workbookViewId="0">
      <selection activeCell="F161" sqref="F161"/>
    </sheetView>
  </sheetViews>
  <sheetFormatPr baseColWidth="8" defaultRowHeight="14.6"/>
  <cols>
    <col width="10.07421875" bestFit="1" customWidth="1" min="1" max="1"/>
    <col width="30" bestFit="1" customWidth="1" min="2" max="2"/>
    <col width="15.15234375" bestFit="1" customWidth="1" min="3" max="3"/>
    <col width="9.921875" bestFit="1" customWidth="1" min="4" max="4"/>
    <col width="40" customWidth="1" min="5" max="5"/>
    <col width="40" customWidth="1" min="6" max="6"/>
  </cols>
  <sheetData>
    <row r="1" ht="18.45" customHeight="1">
      <c r="A1" s="10" t="inlineStr">
        <is>
          <t>Broker Equity Curve</t>
        </is>
      </c>
    </row>
    <row r="3">
      <c r="A3" s="2" t="inlineStr">
        <is>
          <t>Date</t>
        </is>
      </c>
      <c r="B3" s="2" t="inlineStr">
        <is>
          <t>Strategy Equity / 策略净值 (自动计算)</t>
        </is>
      </c>
      <c r="C3" s="2" t="inlineStr">
        <is>
          <t>High Water Mark</t>
        </is>
      </c>
      <c r="D3" s="2" t="inlineStr">
        <is>
          <t>Drawdown</t>
        </is>
      </c>
      <c r="E3" s="11" t="inlineStr">
        <is>
          <t>Total Brokerage Equity / 券商总净值 (手动输入)</t>
        </is>
      </c>
      <c r="F3" s="11" t="inlineStr">
        <is>
          <t>Accumulated HK PnL / 港股打新累计盈亏 (自动匹配)</t>
        </is>
      </c>
    </row>
    <row r="4">
      <c r="A4" s="7" t="n">
        <v>46038</v>
      </c>
      <c r="B4" s="12">
        <f>IF(E4="","",E4-F4)</f>
        <v/>
      </c>
      <c r="C4" s="4">
        <f>IF(B4="","",MAX($B$4:B4))</f>
        <v/>
      </c>
      <c r="D4" s="6">
        <f>IF(OR(B4="",C4=0),"",B4/C4-1)</f>
        <v/>
      </c>
      <c r="E4" s="13" t="n">
        <v>101640.09</v>
      </c>
      <c r="F4" s="13">
        <f>IFERROR(VLOOKUP(A4, HK_IPO!A:C, 3, TRUE), 0)</f>
        <v/>
      </c>
    </row>
    <row r="5">
      <c r="A5" s="7" t="n">
        <v>46039</v>
      </c>
      <c r="B5" s="12">
        <f>IF(E5="","",E5-F5)</f>
        <v/>
      </c>
      <c r="C5" s="4">
        <f>IF(B5="","",MAX($B$4:B5))</f>
        <v/>
      </c>
      <c r="D5" s="6">
        <f>IF(OR(B5="",C5=0),"",B5/C5-1)</f>
        <v/>
      </c>
      <c r="E5" s="13" t="n">
        <v>101639.92</v>
      </c>
      <c r="F5" s="13">
        <f>IFERROR(VLOOKUP(A5, HK_IPO!A:C, 3, TRUE), 0)</f>
        <v/>
      </c>
    </row>
    <row r="6">
      <c r="A6" s="7" t="n">
        <v>46040</v>
      </c>
      <c r="B6" s="12">
        <f>IF(E6="","",E6-F6)</f>
        <v/>
      </c>
      <c r="C6" s="4">
        <f>IF(B6="","",MAX($B$4:B6))</f>
        <v/>
      </c>
      <c r="D6" s="6">
        <f>IF(OR(B6="",C6=0),"",B6/C6-1)</f>
        <v/>
      </c>
      <c r="E6" s="13" t="n">
        <v>101639.24</v>
      </c>
      <c r="F6" s="13">
        <f>IFERROR(VLOOKUP(A6, HK_IPO!A:C, 3, TRUE), 0)</f>
        <v/>
      </c>
    </row>
    <row r="7">
      <c r="A7" s="7" t="n">
        <v>46041</v>
      </c>
      <c r="B7" s="12">
        <f>IF(E7="","",E7-F7)</f>
        <v/>
      </c>
      <c r="C7" s="4">
        <f>IF(B7="","",MAX($B$4:B7))</f>
        <v/>
      </c>
      <c r="D7" s="6">
        <f>IF(OR(B7="",C7=0),"",B7/C7-1)</f>
        <v/>
      </c>
      <c r="E7" s="13" t="n">
        <v>101720.03</v>
      </c>
      <c r="F7" s="13">
        <f>IFERROR(VLOOKUP(A7, HK_IPO!A:C, 3, TRUE), 0)</f>
        <v/>
      </c>
    </row>
    <row r="8">
      <c r="A8" s="7" t="n">
        <v>46042</v>
      </c>
      <c r="B8" s="12">
        <f>IF(E8="","",E8-F8)</f>
        <v/>
      </c>
      <c r="C8" s="4">
        <f>IF(B8="","",MAX($B$4:B8))</f>
        <v/>
      </c>
      <c r="D8" s="6">
        <f>IF(OR(B8="",C8=0),"",B8/C8-1)</f>
        <v/>
      </c>
      <c r="E8" s="13" t="n">
        <v>101528.06</v>
      </c>
      <c r="F8" s="13">
        <f>IFERROR(VLOOKUP(A8, HK_IPO!A:C, 3, TRUE), 0)</f>
        <v/>
      </c>
    </row>
    <row r="9">
      <c r="A9" s="7" t="n">
        <v>46043</v>
      </c>
      <c r="B9" s="12">
        <f>IF(E9="","",E9-F9)</f>
        <v/>
      </c>
      <c r="C9" s="4">
        <f>IF(B9="","",MAX($B$4:B9))</f>
        <v/>
      </c>
      <c r="D9" s="6">
        <f>IF(OR(B9="",C9=0),"",B9/C9-1)</f>
        <v/>
      </c>
      <c r="E9" s="13" t="n">
        <v>102775.2</v>
      </c>
      <c r="F9" s="13">
        <f>IFERROR(VLOOKUP(A9, HK_IPO!A:C, 3, TRUE), 0)</f>
        <v/>
      </c>
    </row>
    <row r="10">
      <c r="A10" s="7" t="n">
        <v>46044</v>
      </c>
      <c r="B10" s="12">
        <f>IF(E10="","",E10-F10)</f>
        <v/>
      </c>
      <c r="C10" s="4">
        <f>IF(B10="","",MAX($B$4:B10))</f>
        <v/>
      </c>
      <c r="D10" s="6">
        <f>IF(OR(B10="",C10=0),"",B10/C10-1)</f>
        <v/>
      </c>
      <c r="E10" s="13" t="n">
        <v>103332.01</v>
      </c>
      <c r="F10" s="13">
        <f>IFERROR(VLOOKUP(A10, HK_IPO!A:C, 3, TRUE), 0)</f>
        <v/>
      </c>
    </row>
    <row r="11">
      <c r="A11" s="7" t="n">
        <v>46045</v>
      </c>
      <c r="B11" s="12">
        <f>IF(E11="","",E11-F11)</f>
        <v/>
      </c>
      <c r="C11" s="4">
        <f>IF(B11="","",MAX($B$4:B11))</f>
        <v/>
      </c>
      <c r="D11" s="6">
        <f>IF(OR(B11="",C11=0),"",B11/C11-1)</f>
        <v/>
      </c>
      <c r="E11" s="13" t="n">
        <v>103790.64</v>
      </c>
      <c r="F11" s="13">
        <f>IFERROR(VLOOKUP(A11, HK_IPO!A:C, 3, TRUE), 0)</f>
        <v/>
      </c>
    </row>
    <row r="12">
      <c r="A12" s="7" t="n">
        <v>46046</v>
      </c>
      <c r="B12" s="12">
        <f>IF(E12="","",E12-F12)</f>
        <v/>
      </c>
      <c r="C12" s="4">
        <f>IF(B12="","",MAX($B$4:B12))</f>
        <v/>
      </c>
      <c r="D12" s="6">
        <f>IF(OR(B12="",C12=0),"",B12/C12-1)</f>
        <v/>
      </c>
      <c r="E12" s="13" t="n">
        <v>103781.67</v>
      </c>
      <c r="F12" s="13">
        <f>IFERROR(VLOOKUP(A12, HK_IPO!A:C, 3, TRUE), 0)</f>
        <v/>
      </c>
    </row>
    <row r="13">
      <c r="A13" s="7" t="n">
        <v>46047</v>
      </c>
      <c r="B13" s="12">
        <f>IF(E13="","",E13-F13)</f>
        <v/>
      </c>
      <c r="C13" s="4">
        <f>IF(B13="","",MAX($B$4:B13))</f>
        <v/>
      </c>
      <c r="D13" s="6">
        <f>IF(OR(B13="",C13=0),"",B13/C13-1)</f>
        <v/>
      </c>
      <c r="E13" s="13" t="n">
        <v>103777.53</v>
      </c>
      <c r="F13" s="13">
        <f>IFERROR(VLOOKUP(A13, HK_IPO!A:C, 3, TRUE), 0)</f>
        <v/>
      </c>
    </row>
    <row r="14">
      <c r="A14" s="7" t="n">
        <v>46048</v>
      </c>
      <c r="B14" s="12">
        <f>IF(E14="","",E14-F14)</f>
        <v/>
      </c>
      <c r="C14" s="4">
        <f>IF(B14="","",MAX($B$4:B14))</f>
        <v/>
      </c>
      <c r="D14" s="6">
        <f>IF(OR(B14="",C14=0),"",B14/C14-1)</f>
        <v/>
      </c>
      <c r="E14" s="13" t="n">
        <v>103689.02</v>
      </c>
      <c r="F14" s="13">
        <f>IFERROR(VLOOKUP(A14, HK_IPO!A:C, 3, TRUE), 0)</f>
        <v/>
      </c>
    </row>
    <row r="15">
      <c r="A15" s="7" t="n">
        <v>46049</v>
      </c>
      <c r="B15" s="12">
        <f>IF(E15="","",E15-F15)</f>
        <v/>
      </c>
      <c r="C15" s="4">
        <f>IF(B15="","",MAX($B$4:B15))</f>
        <v/>
      </c>
      <c r="D15" s="6">
        <f>IF(OR(B15="",C15=0),"",B15/C15-1)</f>
        <v/>
      </c>
      <c r="E15" s="13" t="n">
        <v>106441.34</v>
      </c>
      <c r="F15" s="13">
        <f>IFERROR(VLOOKUP(A15, HK_IPO!A:C, 3, TRUE), 0)</f>
        <v/>
      </c>
    </row>
    <row r="16">
      <c r="A16" s="7" t="n">
        <v>46050</v>
      </c>
      <c r="B16" s="12">
        <f>IF(E16="","",E16-F16)</f>
        <v/>
      </c>
      <c r="C16" s="4">
        <f>IF(B16="","",MAX($B$4:B16))</f>
        <v/>
      </c>
      <c r="D16" s="6">
        <f>IF(OR(B16="",C16=0),"",B16/C16-1)</f>
        <v/>
      </c>
      <c r="E16" s="13" t="n">
        <v>106812.29</v>
      </c>
      <c r="F16" s="13">
        <f>IFERROR(VLOOKUP(A16, HK_IPO!A:C, 3, TRUE), 0)</f>
        <v/>
      </c>
    </row>
    <row r="17">
      <c r="A17" s="7" t="n">
        <v>46051</v>
      </c>
      <c r="B17" s="12">
        <f>IF(E17="","",E17-F17)</f>
        <v/>
      </c>
      <c r="C17" s="4">
        <f>IF(B17="","",MAX($B$4:B17))</f>
        <v/>
      </c>
      <c r="D17" s="6">
        <f>IF(OR(B17="",C17=0),"",B17/C17-1)</f>
        <v/>
      </c>
      <c r="E17" s="13" t="n">
        <v>106618.12</v>
      </c>
      <c r="F17" s="13">
        <f>IFERROR(VLOOKUP(A17, HK_IPO!A:C, 3, TRUE), 0)</f>
        <v/>
      </c>
    </row>
    <row r="18">
      <c r="A18" s="7" t="n">
        <v>46052</v>
      </c>
      <c r="B18" s="12">
        <f>IF(E18="","",E18-F18)</f>
        <v/>
      </c>
      <c r="C18" s="4">
        <f>IF(B18="","",MAX($B$4:B18))</f>
        <v/>
      </c>
      <c r="D18" s="6">
        <f>IF(OR(B18="",C18=0),"",B18/C18-1)</f>
        <v/>
      </c>
      <c r="E18" s="13" t="n">
        <v>105062.67</v>
      </c>
      <c r="F18" s="13">
        <f>IFERROR(VLOOKUP(A18, HK_IPO!A:C, 3, TRUE), 0)</f>
        <v/>
      </c>
    </row>
    <row r="19">
      <c r="A19" s="7" t="n">
        <v>46053</v>
      </c>
      <c r="B19" s="12">
        <f>IF(E19="","",E19-F19)</f>
        <v/>
      </c>
      <c r="C19" s="4">
        <f>IF(B19="","",MAX($B$4:B19))</f>
        <v/>
      </c>
      <c r="D19" s="6">
        <f>IF(OR(B19="",C19=0),"",B19/C19-1)</f>
        <v/>
      </c>
      <c r="E19" s="13" t="n">
        <v>105062.96</v>
      </c>
      <c r="F19" s="13">
        <f>IFERROR(VLOOKUP(A19, HK_IPO!A:C, 3, TRUE), 0)</f>
        <v/>
      </c>
    </row>
    <row r="20">
      <c r="A20" s="7" t="n">
        <v>46054</v>
      </c>
      <c r="B20" s="12">
        <f>IF(E20="","",E20-F20)</f>
        <v/>
      </c>
      <c r="C20" s="4">
        <f>IF(B20="","",MAX($B$4:B20))</f>
        <v/>
      </c>
      <c r="D20" s="6">
        <f>IF(OR(B20="",C20=0),"",B20/C20-1)</f>
        <v/>
      </c>
      <c r="E20" s="13" t="n">
        <v>105060.87</v>
      </c>
      <c r="F20" s="13">
        <f>IFERROR(VLOOKUP(A20, HK_IPO!A:C, 3, TRUE), 0)</f>
        <v/>
      </c>
    </row>
    <row r="21">
      <c r="A21" s="7" t="n">
        <v>46055</v>
      </c>
      <c r="B21" s="12">
        <f>IF(E21="","",E21-F21)</f>
        <v/>
      </c>
      <c r="C21" s="4">
        <f>IF(B21="","",MAX($B$4:B21))</f>
        <v/>
      </c>
      <c r="D21" s="6">
        <f>IF(OR(B21="",C21=0),"",B21/C21-1)</f>
        <v/>
      </c>
      <c r="E21" s="13" t="n">
        <v>105374.25</v>
      </c>
      <c r="F21" s="13">
        <f>IFERROR(VLOOKUP(A21, HK_IPO!A:C, 3, TRUE), 0)</f>
        <v/>
      </c>
    </row>
    <row r="22">
      <c r="A22" s="7" t="n">
        <v>46056</v>
      </c>
      <c r="B22" s="12">
        <f>IF(E22="","",E22-F22)</f>
        <v/>
      </c>
      <c r="C22" s="4">
        <f>IF(B22="","",MAX($B$4:B22))</f>
        <v/>
      </c>
      <c r="D22" s="6">
        <f>IF(OR(B22="",C22=0),"",B22/C22-1)</f>
        <v/>
      </c>
      <c r="E22" s="13" t="n">
        <v>104086.05</v>
      </c>
      <c r="F22" s="13">
        <f>IFERROR(VLOOKUP(A22, HK_IPO!A:C, 3, TRUE), 0)</f>
        <v/>
      </c>
    </row>
    <row r="23">
      <c r="A23" s="7" t="n">
        <v>46057</v>
      </c>
      <c r="B23" s="12">
        <f>IF(E23="","",E23-F23)</f>
        <v/>
      </c>
      <c r="C23" s="4">
        <f>IF(B23="","",MAX($B$4:B23))</f>
        <v/>
      </c>
      <c r="D23" s="6">
        <f>IF(OR(B23="",C23=0),"",B23/C23-1)</f>
        <v/>
      </c>
      <c r="E23" s="13" t="n">
        <v>102625.99</v>
      </c>
      <c r="F23" s="13">
        <f>IFERROR(VLOOKUP(A23, HK_IPO!A:C, 3, TRUE), 0)</f>
        <v/>
      </c>
    </row>
    <row r="24">
      <c r="A24" s="7" t="n">
        <v>46058</v>
      </c>
      <c r="B24" s="12">
        <f>IF(E24="","",E24-F24)</f>
        <v/>
      </c>
      <c r="C24" s="4">
        <f>IF(B24="","",MAX($B$4:B24))</f>
        <v/>
      </c>
      <c r="D24" s="6">
        <f>IF(OR(B24="",C24=0),"",B24/C24-1)</f>
        <v/>
      </c>
      <c r="E24" s="13" t="n">
        <v>101722.26</v>
      </c>
      <c r="F24" s="13">
        <f>IFERROR(VLOOKUP(A24, HK_IPO!A:C, 3, TRUE), 0)</f>
        <v/>
      </c>
    </row>
    <row r="25">
      <c r="A25" s="7" t="n">
        <v>46059</v>
      </c>
      <c r="B25" s="12">
        <f>IF(E25="","",E25-F25)</f>
        <v/>
      </c>
      <c r="C25" s="4">
        <f>IF(B25="","",MAX($B$4:B25))</f>
        <v/>
      </c>
      <c r="D25" s="6">
        <f>IF(OR(B25="",C25=0),"",B25/C25-1)</f>
        <v/>
      </c>
      <c r="E25" s="13" t="n">
        <v>103961.48</v>
      </c>
      <c r="F25" s="13">
        <f>IFERROR(VLOOKUP(A25, HK_IPO!A:C, 3, TRUE), 0)</f>
        <v/>
      </c>
    </row>
    <row r="26">
      <c r="A26" s="7" t="n">
        <v>46060</v>
      </c>
      <c r="B26" s="12">
        <f>IF(E26="","",E26-F26)</f>
        <v/>
      </c>
      <c r="C26" s="4">
        <f>IF(B26="","",MAX($B$4:B26))</f>
        <v/>
      </c>
      <c r="D26" s="6">
        <f>IF(OR(B26="",C26=0),"",B26/C26-1)</f>
        <v/>
      </c>
      <c r="E26" s="13" t="n">
        <v>103962.01</v>
      </c>
      <c r="F26" s="13">
        <f>IFERROR(VLOOKUP(A26, HK_IPO!A:C, 3, TRUE), 0)</f>
        <v/>
      </c>
    </row>
    <row r="27">
      <c r="A27" s="7" t="n">
        <v>46061</v>
      </c>
      <c r="B27" s="12">
        <f>IF(E27="","",E27-F27)</f>
        <v/>
      </c>
      <c r="C27" s="4">
        <f>IF(B27="","",MAX($B$4:B27))</f>
        <v/>
      </c>
      <c r="D27" s="6">
        <f>IF(OR(B27="",C27=0),"",B27/C27-1)</f>
        <v/>
      </c>
      <c r="E27" s="13" t="n">
        <v>103962.31</v>
      </c>
      <c r="F27" s="13">
        <f>IFERROR(VLOOKUP(A27, HK_IPO!A:C, 3, TRUE), 0)</f>
        <v/>
      </c>
    </row>
    <row r="28">
      <c r="A28" s="7" t="n">
        <v>46062</v>
      </c>
      <c r="B28" s="12">
        <f>IF(E28="","",E28-F28)</f>
        <v/>
      </c>
      <c r="C28" s="4">
        <f>IF(B28="","",MAX($B$4:B28))</f>
        <v/>
      </c>
      <c r="D28" s="6">
        <f>IF(OR(B28="",C28=0),"",B28/C28-1)</f>
        <v/>
      </c>
      <c r="E28" s="13" t="n">
        <v>104768.64</v>
      </c>
      <c r="F28" s="13">
        <f>IFERROR(VLOOKUP(A28, HK_IPO!A:C, 3, TRUE), 0)</f>
        <v/>
      </c>
    </row>
    <row r="29">
      <c r="A29" s="7" t="n">
        <v>46063</v>
      </c>
      <c r="B29" s="12">
        <f>IF(E29="","",E29-F29)</f>
        <v/>
      </c>
      <c r="C29" s="4">
        <f>IF(B29="","",MAX($B$4:B29))</f>
        <v/>
      </c>
      <c r="D29" s="6">
        <f>IF(OR(B29="",C29=0),"",B29/C29-1)</f>
        <v/>
      </c>
      <c r="E29" s="13" t="n">
        <v>104761.02</v>
      </c>
      <c r="F29" s="13">
        <f>IFERROR(VLOOKUP(A29, HK_IPO!A:C, 3, TRUE), 0)</f>
        <v/>
      </c>
    </row>
    <row r="30">
      <c r="A30" s="7" t="n">
        <v>46064</v>
      </c>
      <c r="B30" s="12">
        <f>IF(E30="","",E30-F30)</f>
        <v/>
      </c>
      <c r="C30" s="4">
        <f>IF(B30="","",MAX($B$4:B30))</f>
        <v/>
      </c>
      <c r="D30" s="6">
        <f>IF(OR(B30="",C30=0),"",B30/C30-1)</f>
        <v/>
      </c>
      <c r="E30" s="13" t="n">
        <v>104943.36</v>
      </c>
      <c r="F30" s="13">
        <f>IFERROR(VLOOKUP(A30, HK_IPO!A:C, 3, TRUE), 0)</f>
        <v/>
      </c>
    </row>
    <row r="31">
      <c r="A31" s="7" t="n">
        <v>46065</v>
      </c>
      <c r="B31" s="12">
        <f>IF(E31="","",E31-F31)</f>
        <v/>
      </c>
      <c r="C31" s="4">
        <f>IF(B31="","",MAX($B$4:B31))</f>
        <v/>
      </c>
      <c r="D31" s="6">
        <f>IF(OR(B31="",C31=0),"",B31/C31-1)</f>
        <v/>
      </c>
      <c r="E31" s="13" t="n">
        <v>103612.12</v>
      </c>
      <c r="F31" s="13">
        <f>IFERROR(VLOOKUP(A31, HK_IPO!A:C, 3, TRUE), 0)</f>
        <v/>
      </c>
    </row>
    <row r="32">
      <c r="A32" s="7" t="n">
        <v>46066</v>
      </c>
      <c r="B32" s="12">
        <f>IF(E32="","",E32-F32)</f>
        <v/>
      </c>
      <c r="C32" s="4">
        <f>IF(B32="","",MAX($B$4:B32))</f>
        <v/>
      </c>
      <c r="D32" s="6">
        <f>IF(OR(B32="",C32=0),"",B32/C32-1)</f>
        <v/>
      </c>
      <c r="E32" s="13" t="n">
        <v>103548.57</v>
      </c>
      <c r="F32" s="13">
        <f>IFERROR(VLOOKUP(A32, HK_IPO!A:C, 3, TRUE), 0)</f>
        <v/>
      </c>
    </row>
    <row r="33">
      <c r="A33" s="7" t="n">
        <v>46067</v>
      </c>
      <c r="B33" s="12">
        <f>IF(E33="","",E33-F33)</f>
        <v/>
      </c>
      <c r="C33" s="4">
        <f>IF(B33="","",MAX($B$4:B33))</f>
        <v/>
      </c>
      <c r="D33" s="6">
        <f>IF(OR(B33="",C33=0),"",B33/C33-1)</f>
        <v/>
      </c>
      <c r="E33" s="13" t="n">
        <v>103548.61</v>
      </c>
      <c r="F33" s="13">
        <f>IFERROR(VLOOKUP(A33, HK_IPO!A:C, 3, TRUE), 0)</f>
        <v/>
      </c>
    </row>
    <row r="34">
      <c r="A34" s="7" t="n">
        <v>46068</v>
      </c>
      <c r="B34" s="12">
        <f>IF(E34="","",E34-F34)</f>
        <v/>
      </c>
      <c r="C34" s="4">
        <f>IF(B34="","",MAX($B$4:B34))</f>
        <v/>
      </c>
      <c r="D34" s="6">
        <f>IF(OR(B34="",C34=0),"",B34/C34-1)</f>
        <v/>
      </c>
      <c r="E34" s="13" t="n">
        <v>103549.48</v>
      </c>
      <c r="F34" s="13">
        <f>IFERROR(VLOOKUP(A34, HK_IPO!A:C, 3, TRUE), 0)</f>
        <v/>
      </c>
    </row>
    <row r="35">
      <c r="A35" s="7" t="n">
        <v>46069</v>
      </c>
      <c r="B35" s="12">
        <f>IF(E35="","",E35-F35)</f>
        <v/>
      </c>
      <c r="C35" s="4">
        <f>IF(B35="","",MAX($B$4:B35))</f>
        <v/>
      </c>
      <c r="D35" s="6">
        <f>IF(OR(B35="",C35=0),"",B35/C35-1)</f>
        <v/>
      </c>
      <c r="E35" s="13" t="n">
        <v>103659.99</v>
      </c>
      <c r="F35" s="13">
        <f>IFERROR(VLOOKUP(A35, HK_IPO!A:C, 3, TRUE), 0)</f>
        <v/>
      </c>
    </row>
    <row r="36">
      <c r="A36" s="7" t="n">
        <v>46070</v>
      </c>
      <c r="B36" s="12">
        <f>IF(E36="","",E36-F36)</f>
        <v/>
      </c>
      <c r="C36" s="4">
        <f>IF(B36="","",MAX($B$4:B36))</f>
        <v/>
      </c>
      <c r="D36" s="6">
        <f>IF(OR(B36="",C36=0),"",B36/C36-1)</f>
        <v/>
      </c>
      <c r="E36" s="13" t="n">
        <v>103739.82</v>
      </c>
      <c r="F36" s="13">
        <f>IFERROR(VLOOKUP(A36, HK_IPO!A:C, 3, TRUE), 0)</f>
        <v/>
      </c>
    </row>
    <row r="37">
      <c r="A37" s="7" t="n">
        <v>46071</v>
      </c>
      <c r="B37" s="12">
        <f>IF(E37="","",E37-F37)</f>
        <v/>
      </c>
      <c r="C37" s="4">
        <f>IF(B37="","",MAX($B$4:B37))</f>
        <v/>
      </c>
      <c r="D37" s="6">
        <f>IF(OR(B37="",C37=0),"",B37/C37-1)</f>
        <v/>
      </c>
      <c r="E37" s="13" t="n">
        <v>104239.56</v>
      </c>
      <c r="F37" s="13">
        <f>IFERROR(VLOOKUP(A37, HK_IPO!A:C, 3, TRUE), 0)</f>
        <v/>
      </c>
    </row>
    <row r="38">
      <c r="A38" s="7" t="n">
        <v>46072</v>
      </c>
      <c r="B38" s="12">
        <f>IF(E38="","",E38-F38)</f>
        <v/>
      </c>
      <c r="C38" s="4">
        <f>IF(B38="","",MAX($B$4:B38))</f>
        <v/>
      </c>
      <c r="D38" s="6">
        <f>IF(OR(B38="",C38=0),"",B38/C38-1)</f>
        <v/>
      </c>
      <c r="E38" s="13" t="n">
        <v>104045.96</v>
      </c>
      <c r="F38" s="13">
        <f>IFERROR(VLOOKUP(A38, HK_IPO!A:C, 3, TRUE), 0)</f>
        <v/>
      </c>
    </row>
    <row r="39">
      <c r="A39" s="7" t="n">
        <v>46073</v>
      </c>
      <c r="B39" s="12">
        <f>IF(E39="","",E39-F39)</f>
        <v/>
      </c>
      <c r="C39" s="4">
        <f>IF(B39="","",MAX($B$4:B39))</f>
        <v/>
      </c>
      <c r="D39" s="6">
        <f>IF(OR(B39="",C39=0),"",B39/C39-1)</f>
        <v/>
      </c>
      <c r="E39" s="13" t="n">
        <v>104253.37</v>
      </c>
      <c r="F39" s="13">
        <f>IFERROR(VLOOKUP(A39, HK_IPO!A:C, 3, TRUE), 0)</f>
        <v/>
      </c>
    </row>
    <row r="40">
      <c r="A40" s="7" t="n">
        <v>46074</v>
      </c>
      <c r="B40" s="12">
        <f>IF(E40="","",E40-F40)</f>
        <v/>
      </c>
      <c r="C40" s="4">
        <f>IF(B40="","",MAX($B$4:B40))</f>
        <v/>
      </c>
      <c r="D40" s="6">
        <f>IF(OR(B40="",C40=0),"",B40/C40-1)</f>
        <v/>
      </c>
      <c r="E40" s="13" t="n">
        <v>104252.37</v>
      </c>
      <c r="F40" s="13">
        <f>IFERROR(VLOOKUP(A40, HK_IPO!A:C, 3, TRUE), 0)</f>
        <v/>
      </c>
    </row>
    <row r="41">
      <c r="A41" s="7" t="n">
        <v>46075</v>
      </c>
      <c r="B41" s="12">
        <f>IF(E41="","",E41-F41)</f>
        <v/>
      </c>
      <c r="C41" s="4">
        <f>IF(B41="","",MAX($B$4:B41))</f>
        <v/>
      </c>
      <c r="D41" s="6">
        <f>IF(OR(B41="",C41=0),"",B41/C41-1)</f>
        <v/>
      </c>
      <c r="E41" s="13" t="n">
        <v>104253.21</v>
      </c>
      <c r="F41" s="13">
        <f>IFERROR(VLOOKUP(A41, HK_IPO!A:C, 3, TRUE), 0)</f>
        <v/>
      </c>
    </row>
    <row r="42">
      <c r="A42" s="7" t="n">
        <v>46076</v>
      </c>
      <c r="B42" s="12">
        <f>IF(E42="","",E42-F42)</f>
        <v/>
      </c>
      <c r="C42" s="4">
        <f>IF(B42="","",MAX($B$4:B42))</f>
        <v/>
      </c>
      <c r="D42" s="6">
        <f>IF(OR(B42="",C42=0),"",B42/C42-1)</f>
        <v/>
      </c>
      <c r="E42" s="13" t="n">
        <v>103746.07</v>
      </c>
      <c r="F42" s="13">
        <f>IFERROR(VLOOKUP(A42, HK_IPO!A:C, 3, TRUE), 0)</f>
        <v/>
      </c>
    </row>
    <row r="43">
      <c r="A43" s="7" t="n">
        <v>46077</v>
      </c>
      <c r="B43" s="12">
        <f>IF(E43="","",E43-F43)</f>
        <v/>
      </c>
      <c r="C43" s="4">
        <f>IF(B43="","",MAX($B$4:B43))</f>
        <v/>
      </c>
      <c r="D43" s="6">
        <f>IF(OR(B43="",C43=0),"",B43/C43-1)</f>
        <v/>
      </c>
      <c r="E43" s="13" t="n">
        <v>104309.47</v>
      </c>
      <c r="F43" s="13">
        <f>IFERROR(VLOOKUP(A43, HK_IPO!A:C, 3, TRUE), 0)</f>
        <v/>
      </c>
    </row>
    <row r="44">
      <c r="A44" s="7" t="n">
        <v>46078</v>
      </c>
      <c r="B44" s="12">
        <f>IF(E44="","",E44-F44)</f>
        <v/>
      </c>
      <c r="C44" s="4">
        <f>IF(B44="","",MAX($B$4:B44))</f>
        <v/>
      </c>
      <c r="D44" s="6">
        <f>IF(OR(B44="",C44=0),"",B44/C44-1)</f>
        <v/>
      </c>
      <c r="E44" s="13" t="n">
        <v>105001.14</v>
      </c>
      <c r="F44" s="13">
        <f>IFERROR(VLOOKUP(A44, HK_IPO!A:C, 3, TRUE), 0)</f>
        <v/>
      </c>
    </row>
    <row r="45">
      <c r="A45" s="7" t="n">
        <v>46079</v>
      </c>
      <c r="B45" s="12">
        <f>IF(E45="","",E45-F45)</f>
        <v/>
      </c>
      <c r="C45" s="4">
        <f>IF(B45="","",MAX($B$4:B45))</f>
        <v/>
      </c>
      <c r="D45" s="6">
        <f>IF(OR(B45="",C45=0),"",B45/C45-1)</f>
        <v/>
      </c>
      <c r="E45" s="13" t="n">
        <v>104087.94</v>
      </c>
      <c r="F45" s="13">
        <f>IFERROR(VLOOKUP(A45, HK_IPO!A:C, 3, TRUE), 0)</f>
        <v/>
      </c>
    </row>
    <row r="46">
      <c r="A46" s="7" t="n">
        <v>46080</v>
      </c>
      <c r="B46" s="12">
        <f>IF(E46="","",E46-F46)</f>
        <v/>
      </c>
      <c r="C46" s="4">
        <f>IF(B46="","",MAX($B$4:B46))</f>
        <v/>
      </c>
      <c r="D46" s="6">
        <f>IF(OR(B46="",C46=0),"",B46/C46-1)</f>
        <v/>
      </c>
      <c r="E46" s="13" t="n">
        <v>103677.52</v>
      </c>
      <c r="F46" s="13">
        <f>IFERROR(VLOOKUP(A46, HK_IPO!A:C, 3, TRUE), 0)</f>
        <v/>
      </c>
    </row>
    <row r="47">
      <c r="A47" s="7" t="n">
        <v>46081</v>
      </c>
      <c r="B47" s="12">
        <f>IF(E47="","",E47-F47)</f>
        <v/>
      </c>
      <c r="C47" s="4">
        <f>IF(B47="","",MAX($B$4:B47))</f>
        <v/>
      </c>
      <c r="D47" s="6">
        <f>IF(OR(B47="",C47=0),"",B47/C47-1)</f>
        <v/>
      </c>
      <c r="E47" s="13" t="n">
        <v>103677.8</v>
      </c>
      <c r="F47" s="13">
        <f>IFERROR(VLOOKUP(A47, HK_IPO!A:C, 3, TRUE), 0)</f>
        <v/>
      </c>
    </row>
    <row r="48">
      <c r="A48" s="7" t="n">
        <v>46082</v>
      </c>
      <c r="B48" s="12">
        <f>IF(E48="","",E48-F48)</f>
        <v/>
      </c>
      <c r="C48" s="4">
        <f>IF(B48="","",MAX($B$4:B48))</f>
        <v/>
      </c>
      <c r="D48" s="6">
        <f>IF(OR(B48="",C48=0),"",B48/C48-1)</f>
        <v/>
      </c>
      <c r="E48" s="13" t="n">
        <v>103678.01</v>
      </c>
      <c r="F48" s="13">
        <f>IFERROR(VLOOKUP(A48, HK_IPO!A:C, 3, TRUE), 0)</f>
        <v/>
      </c>
    </row>
    <row r="49">
      <c r="A49" s="7" t="n">
        <v>46083</v>
      </c>
      <c r="B49" s="12">
        <f>IF(E49="","",E49-F49)</f>
        <v/>
      </c>
      <c r="C49" s="4">
        <f>IF(B49="","",MAX($B$4:B49))</f>
        <v/>
      </c>
      <c r="D49" s="6">
        <f>IF(OR(B49="",C49=0),"",B49/C49-1)</f>
        <v/>
      </c>
      <c r="E49" s="13" t="n">
        <v>103512.5</v>
      </c>
      <c r="F49" s="13">
        <f>IFERROR(VLOOKUP(A49, HK_IPO!A:C, 3, TRUE), 0)</f>
        <v/>
      </c>
    </row>
    <row r="50">
      <c r="A50" s="7" t="n">
        <v>46084</v>
      </c>
      <c r="B50" s="12">
        <f>IF(E50="","",E50-F50)</f>
        <v/>
      </c>
      <c r="C50" s="4">
        <f>IF(B50="","",MAX($B$4:B50))</f>
        <v/>
      </c>
      <c r="D50" s="6">
        <f>IF(OR(B50="",C50=0),"",B50/C50-1)</f>
        <v/>
      </c>
      <c r="E50" s="13" t="n">
        <v>102110.39</v>
      </c>
      <c r="F50" s="13">
        <f>IFERROR(VLOOKUP(A50, HK_IPO!A:C, 3, TRUE), 0)</f>
        <v/>
      </c>
    </row>
    <row r="51">
      <c r="A51" s="7" t="n">
        <v>46085</v>
      </c>
      <c r="B51" s="12">
        <f>IF(E51="","",E51-F51)</f>
        <v/>
      </c>
      <c r="C51" s="4">
        <f>IF(B51="","",MAX($B$4:B51))</f>
        <v/>
      </c>
      <c r="D51" s="6">
        <f>IF(OR(B51="",C51=0),"",B51/C51-1)</f>
        <v/>
      </c>
      <c r="E51" s="13" t="n">
        <v>102405.13</v>
      </c>
      <c r="F51" s="13">
        <f>IFERROR(VLOOKUP(A51, HK_IPO!A:C, 3, TRUE), 0)</f>
        <v/>
      </c>
    </row>
    <row r="52">
      <c r="A52" s="7" t="n">
        <v>46086</v>
      </c>
      <c r="B52" s="12">
        <f>IF(E52="","",E52-F52)</f>
        <v/>
      </c>
      <c r="C52" s="4">
        <f>IF(B52="","",MAX($B$4:B52))</f>
        <v/>
      </c>
      <c r="D52" s="6">
        <f>IF(OR(B52="",C52=0),"",B52/C52-1)</f>
        <v/>
      </c>
      <c r="E52" s="13" t="n">
        <v>102399.4</v>
      </c>
      <c r="F52" s="13">
        <f>IFERROR(VLOOKUP(A52, HK_IPO!A:C, 3, TRUE), 0)</f>
        <v/>
      </c>
    </row>
    <row r="53">
      <c r="A53" s="7" t="n">
        <v>46087</v>
      </c>
      <c r="B53" s="12">
        <f>IF(E53="","",E53-F53)</f>
        <v/>
      </c>
      <c r="C53" s="4">
        <f>IF(B53="","",MAX($B$4:B53))</f>
        <v/>
      </c>
      <c r="D53" s="6">
        <f>IF(OR(B53="",C53=0),"",B53/C53-1)</f>
        <v/>
      </c>
      <c r="E53" s="13" t="n">
        <v>101371.09</v>
      </c>
      <c r="F53" s="13">
        <f>IFERROR(VLOOKUP(A53, HK_IPO!A:C, 3, TRUE), 0)</f>
        <v/>
      </c>
    </row>
    <row r="54">
      <c r="A54" s="7" t="n">
        <v>46088</v>
      </c>
      <c r="B54" s="12">
        <f>IF(E54="","",E54-F54)</f>
        <v/>
      </c>
      <c r="C54" s="4">
        <f>IF(B54="","",MAX($B$4:B54))</f>
        <v/>
      </c>
      <c r="D54" s="6">
        <f>IF(OR(B54="",C54=0),"",B54/C54-1)</f>
        <v/>
      </c>
      <c r="E54" s="13" t="n">
        <v>101371.16</v>
      </c>
      <c r="F54" s="13">
        <f>IFERROR(VLOOKUP(A54, HK_IPO!A:C, 3, TRUE), 0)</f>
        <v/>
      </c>
    </row>
    <row r="55">
      <c r="A55" s="7" t="n">
        <v>46089</v>
      </c>
      <c r="B55" s="12">
        <f>IF(E55="","",E55-F55)</f>
        <v/>
      </c>
      <c r="C55" s="4">
        <f>IF(B55="","",MAX($B$4:B55))</f>
        <v/>
      </c>
      <c r="D55" s="6">
        <f>IF(OR(B55="",C55=0),"",B55/C55-1)</f>
        <v/>
      </c>
      <c r="E55" s="13" t="n">
        <v>101371.41</v>
      </c>
      <c r="F55" s="13">
        <f>IFERROR(VLOOKUP(A55, HK_IPO!A:C, 3, TRUE), 0)</f>
        <v/>
      </c>
    </row>
    <row r="56">
      <c r="A56" s="7" t="n">
        <v>46090</v>
      </c>
      <c r="B56" s="12">
        <f>IF(E56="","",E56-F56)</f>
        <v/>
      </c>
      <c r="C56" s="4">
        <f>IF(B56="","",MAX($B$4:B56))</f>
        <v/>
      </c>
      <c r="D56" s="6">
        <f>IF(OR(B56="",C56=0),"",B56/C56-1)</f>
        <v/>
      </c>
      <c r="E56" s="13" t="n">
        <v>102416.16</v>
      </c>
      <c r="F56" s="13">
        <f>IFERROR(VLOOKUP(A56, HK_IPO!A:C, 3, TRUE), 0)</f>
        <v/>
      </c>
    </row>
    <row r="57">
      <c r="A57" s="7" t="n">
        <v>46091</v>
      </c>
      <c r="B57" s="12">
        <f>IF(E57="","",E57-F57)</f>
        <v/>
      </c>
      <c r="C57" s="4">
        <f>IF(B57="","",MAX($B$4:B57))</f>
        <v/>
      </c>
      <c r="D57" s="6">
        <f>IF(OR(B57="",C57=0),"",B57/C57-1)</f>
        <v/>
      </c>
      <c r="E57" s="13" t="n">
        <v>102582.3</v>
      </c>
      <c r="F57" s="13">
        <f>IFERROR(VLOOKUP(A57, HK_IPO!A:C, 3, TRUE), 0)</f>
        <v/>
      </c>
    </row>
    <row r="58">
      <c r="A58" s="7" t="n">
        <v>46092</v>
      </c>
      <c r="B58" s="12">
        <f>IF(E58="","",E58-F58)</f>
        <v/>
      </c>
      <c r="C58" s="4">
        <f>IF(B58="","",MAX($B$4:B58))</f>
        <v/>
      </c>
      <c r="D58" s="6">
        <f>IF(OR(B58="",C58=0),"",B58/C58-1)</f>
        <v/>
      </c>
      <c r="E58" s="13" t="n">
        <v>102818.33</v>
      </c>
      <c r="F58" s="13">
        <f>IFERROR(VLOOKUP(A58, HK_IPO!A:C, 3, TRUE), 0)</f>
        <v/>
      </c>
    </row>
    <row r="59">
      <c r="A59" s="7" t="n">
        <v>46093</v>
      </c>
      <c r="B59" s="12">
        <f>IF(E59="","",E59-F59)</f>
        <v/>
      </c>
      <c r="C59" s="4">
        <f>IF(B59="","",MAX($B$4:B59))</f>
        <v/>
      </c>
      <c r="D59" s="6">
        <f>IF(OR(B59="",C59=0),"",B59/C59-1)</f>
        <v/>
      </c>
      <c r="E59" s="13" t="n">
        <v>101768.43</v>
      </c>
      <c r="F59" s="13">
        <f>IFERROR(VLOOKUP(A59, HK_IPO!A:C, 3, TRUE), 0)</f>
        <v/>
      </c>
    </row>
    <row r="60">
      <c r="A60" s="7" t="n">
        <v>46094</v>
      </c>
      <c r="B60" s="12">
        <f>IF(E60="","",E60-F60)</f>
        <v/>
      </c>
      <c r="C60" s="4">
        <f>IF(B60="","",MAX($B$4:B60))</f>
        <v/>
      </c>
      <c r="D60" s="6">
        <f>IF(OR(B60="",C60=0),"",B60/C60-1)</f>
        <v/>
      </c>
      <c r="E60" s="13" t="n">
        <v>101182.06</v>
      </c>
      <c r="F60" s="13">
        <f>IFERROR(VLOOKUP(A60, HK_IPO!A:C, 3, TRUE), 0)</f>
        <v/>
      </c>
    </row>
    <row r="61">
      <c r="A61" s="7" t="n">
        <v>46095</v>
      </c>
      <c r="B61" s="12">
        <f>IF(E61="","",E61-F61)</f>
        <v/>
      </c>
      <c r="C61" s="4">
        <f>IF(B61="","",MAX($B$4:B61))</f>
        <v/>
      </c>
      <c r="D61" s="6">
        <f>IF(OR(B61="",C61=0),"",B61/C61-1)</f>
        <v/>
      </c>
      <c r="E61" s="13" t="n">
        <v>101180.19</v>
      </c>
      <c r="F61" s="13">
        <f>IFERROR(VLOOKUP(A61, HK_IPO!A:C, 3, TRUE), 0)</f>
        <v/>
      </c>
    </row>
    <row r="62">
      <c r="A62" s="7" t="n">
        <v>46096</v>
      </c>
      <c r="B62" s="12">
        <f>IF(E62="","",E62-F62)</f>
        <v/>
      </c>
      <c r="C62" s="4">
        <f>IF(B62="","",MAX($B$4:B62))</f>
        <v/>
      </c>
      <c r="D62" s="6">
        <f>IF(OR(B62="",C62=0),"",B62/C62-1)</f>
        <v/>
      </c>
      <c r="E62" s="13" t="n">
        <v>101181.82</v>
      </c>
      <c r="F62" s="13">
        <f>IFERROR(VLOOKUP(A62, HK_IPO!A:C, 3, TRUE), 0)</f>
        <v/>
      </c>
    </row>
    <row r="63">
      <c r="A63" s="7" t="n">
        <v>46097</v>
      </c>
      <c r="B63" s="12">
        <f>IF(E63="","",E63-F63)</f>
        <v/>
      </c>
      <c r="C63" s="4">
        <f>IF(B63="","",MAX($B$4:B63))</f>
        <v/>
      </c>
      <c r="D63" s="6">
        <f>IF(OR(B63="",C63=0),"",B63/C63-1)</f>
        <v/>
      </c>
      <c r="E63" s="13" t="n">
        <v>101930.55</v>
      </c>
      <c r="F63" s="13">
        <f>IFERROR(VLOOKUP(A63, HK_IPO!A:C, 3, TRUE), 0)</f>
        <v/>
      </c>
    </row>
    <row r="64">
      <c r="A64" s="7" t="n">
        <v>46098</v>
      </c>
      <c r="B64" s="12">
        <f>IF(E64="","",E64-F64)</f>
        <v/>
      </c>
      <c r="C64" s="4">
        <f>IF(B64="","",MAX($B$4:B64))</f>
        <v/>
      </c>
      <c r="D64" s="6">
        <f>IF(OR(B64="",C64=0),"",B64/C64-1)</f>
        <v/>
      </c>
      <c r="E64" s="13" t="n">
        <v>102075.06</v>
      </c>
      <c r="F64" s="13">
        <f>IFERROR(VLOOKUP(A64, HK_IPO!A:C, 3, TRUE), 0)</f>
        <v/>
      </c>
    </row>
    <row r="65">
      <c r="A65" s="7" t="n">
        <v>46099</v>
      </c>
      <c r="B65" s="12">
        <f>IF(E65="","",E65-F65)</f>
        <v/>
      </c>
      <c r="C65" s="4">
        <f>IF(B65="","",MAX($B$4:B65))</f>
        <v/>
      </c>
      <c r="D65" s="6">
        <f>IF(OR(B65="",C65=0),"",B65/C65-1)</f>
        <v/>
      </c>
      <c r="E65" s="13" t="n">
        <v>101176.79</v>
      </c>
      <c r="F65" s="13">
        <f>IFERROR(VLOOKUP(A65, HK_IPO!A:C, 3, TRUE), 0)</f>
        <v/>
      </c>
    </row>
    <row r="66">
      <c r="A66" s="7" t="n">
        <v>46100</v>
      </c>
      <c r="B66" s="12">
        <f>IF(E66="","",E66-F66)</f>
        <v/>
      </c>
      <c r="C66" s="4">
        <f>IF(B66="","",MAX($B$4:B66))</f>
        <v/>
      </c>
      <c r="D66" s="6">
        <f>IF(OR(B66="",C66=0),"",B66/C66-1)</f>
        <v/>
      </c>
      <c r="E66" s="13" t="n">
        <v>101543.43</v>
      </c>
      <c r="F66" s="13">
        <f>IFERROR(VLOOKUP(A66, HK_IPO!A:C, 3, TRUE), 0)</f>
        <v/>
      </c>
    </row>
    <row r="67">
      <c r="A67" s="7" t="n">
        <v>46101</v>
      </c>
      <c r="B67" s="12">
        <f>IF(E67="","",E67-F67)</f>
        <v/>
      </c>
      <c r="C67" s="4">
        <f>IF(B67="","",MAX($B$4:B67))</f>
        <v/>
      </c>
      <c r="D67" s="6">
        <f>IF(OR(B67="",C67=0),"",B67/C67-1)</f>
        <v/>
      </c>
      <c r="E67" s="13" t="n">
        <v>100647.77</v>
      </c>
      <c r="F67" s="13">
        <f>IFERROR(VLOOKUP(A67, HK_IPO!A:C, 3, TRUE), 0)</f>
        <v/>
      </c>
    </row>
    <row r="68">
      <c r="A68" s="7" t="n">
        <v>46102</v>
      </c>
      <c r="B68" s="12">
        <f>IF(E68="","",E68-F68)</f>
        <v/>
      </c>
      <c r="C68" s="4">
        <f>IF(B68="","",MAX($B$4:B68))</f>
        <v/>
      </c>
      <c r="D68" s="6">
        <f>IF(OR(B68="",C68=0),"",B68/C68-1)</f>
        <v/>
      </c>
      <c r="E68" s="13" t="n">
        <v>100646.11</v>
      </c>
      <c r="F68" s="13">
        <f>IFERROR(VLOOKUP(A68, HK_IPO!A:C, 3, TRUE), 0)</f>
        <v/>
      </c>
    </row>
    <row r="69">
      <c r="A69" s="7" t="n">
        <v>46103</v>
      </c>
      <c r="B69" s="12">
        <f>IF(E69="","",E69-F69)</f>
        <v/>
      </c>
      <c r="C69" s="4">
        <f>IF(B69="","",MAX($B$4:B69))</f>
        <v/>
      </c>
      <c r="D69" s="6">
        <f>IF(OR(B69="",C69=0),"",B69/C69-1)</f>
        <v/>
      </c>
      <c r="E69" s="13" t="n">
        <v>100647.74</v>
      </c>
      <c r="F69" s="13">
        <f>IFERROR(VLOOKUP(A69, HK_IPO!A:C, 3, TRUE), 0)</f>
        <v/>
      </c>
    </row>
    <row r="70">
      <c r="A70" s="7" t="n">
        <v>46104</v>
      </c>
      <c r="B70" s="12">
        <f>IF(E70="","",E70-F70)</f>
        <v/>
      </c>
      <c r="C70" s="4">
        <f>IF(B70="","",MAX($B$4:B70))</f>
        <v/>
      </c>
      <c r="D70" s="6">
        <f>IF(OR(B70="",C70=0),"",B70/C70-1)</f>
        <v/>
      </c>
      <c r="E70" s="13" t="n">
        <v>101628.25</v>
      </c>
      <c r="F70" s="13">
        <f>IFERROR(VLOOKUP(A70, HK_IPO!A:C, 3, TRUE), 0)</f>
        <v/>
      </c>
    </row>
    <row r="71">
      <c r="A71" s="7" t="n">
        <v>46105</v>
      </c>
      <c r="B71" s="12">
        <f>IF(E71="","",E71-F71)</f>
        <v/>
      </c>
      <c r="C71" s="4">
        <f>IF(B71="","",MAX($B$4:B71))</f>
        <v/>
      </c>
      <c r="D71" s="6">
        <f>IF(OR(B71="",C71=0),"",B71/C71-1)</f>
        <v/>
      </c>
      <c r="E71" s="13" t="n">
        <v>101593.14</v>
      </c>
      <c r="F71" s="13">
        <f>IFERROR(VLOOKUP(A71, HK_IPO!A:C, 3, TRUE), 0)</f>
        <v/>
      </c>
    </row>
    <row r="72">
      <c r="A72" s="7" t="n">
        <v>46106</v>
      </c>
      <c r="B72" s="12">
        <f>IF(E72="","",E72-F72)</f>
        <v/>
      </c>
      <c r="C72" s="4">
        <f>IF(B72="","",MAX($B$4:B72))</f>
        <v/>
      </c>
      <c r="D72" s="6">
        <f>IF(OR(B72="",C72=0),"",B72/C72-1)</f>
        <v/>
      </c>
      <c r="E72" s="13" t="n">
        <v>102013.63</v>
      </c>
      <c r="F72" s="13">
        <f>IFERROR(VLOOKUP(A72, HK_IPO!A:C, 3, TRUE), 0)</f>
        <v/>
      </c>
    </row>
    <row r="73">
      <c r="A73" s="7" t="n">
        <v>46107</v>
      </c>
      <c r="B73" s="12">
        <f>IF(E73="","",E73-F73)</f>
        <v/>
      </c>
      <c r="C73" s="4">
        <f>IF(B73="","",MAX($B$4:B73))</f>
        <v/>
      </c>
      <c r="D73" s="6">
        <f>IF(OR(B73="",C73=0),"",B73/C73-1)</f>
        <v/>
      </c>
      <c r="E73" s="13" t="n">
        <v>100466.23</v>
      </c>
      <c r="F73" s="13">
        <f>IFERROR(VLOOKUP(A73, HK_IPO!A:C, 3, TRUE), 0)</f>
        <v/>
      </c>
    </row>
    <row r="74">
      <c r="A74" s="7" t="n">
        <v>46108</v>
      </c>
      <c r="B74" s="12">
        <f>IF(E74="","",E74-F74)</f>
        <v/>
      </c>
      <c r="C74" s="4">
        <f>IF(B74="","",MAX($B$4:B74))</f>
        <v/>
      </c>
      <c r="D74" s="6">
        <f>IF(OR(B74="",C74=0),"",B74/C74-1)</f>
        <v/>
      </c>
      <c r="E74" s="13" t="n">
        <v>99281.14</v>
      </c>
      <c r="F74" s="13">
        <f>IFERROR(VLOOKUP(A74, HK_IPO!A:C, 3, TRUE), 0)</f>
        <v/>
      </c>
    </row>
    <row r="75">
      <c r="A75" s="7" t="n">
        <v>46109</v>
      </c>
      <c r="B75" s="12">
        <f>IF(E75="","",E75-F75)</f>
        <v/>
      </c>
      <c r="C75" s="4">
        <f>IF(B75="","",MAX($B$4:B75))</f>
        <v/>
      </c>
      <c r="D75" s="6">
        <f>IF(OR(B75="",C75=0),"",B75/C75-1)</f>
        <v/>
      </c>
      <c r="E75" s="13" t="n">
        <v>99282.23</v>
      </c>
      <c r="F75" s="13">
        <f>IFERROR(VLOOKUP(A75, HK_IPO!A:C, 3, TRUE), 0)</f>
        <v/>
      </c>
    </row>
    <row r="76">
      <c r="A76" s="7" t="n">
        <v>46110</v>
      </c>
      <c r="B76" s="12">
        <f>IF(E76="","",E76-F76)</f>
        <v/>
      </c>
      <c r="C76" s="4">
        <f>IF(B76="","",MAX($B$4:B76))</f>
        <v/>
      </c>
      <c r="D76" s="6">
        <f>IF(OR(B76="",C76=0),"",B76/C76-1)</f>
        <v/>
      </c>
      <c r="E76" s="13" t="n">
        <v>99281.11</v>
      </c>
      <c r="F76" s="13">
        <f>IFERROR(VLOOKUP(A76, HK_IPO!A:C, 3, TRUE), 0)</f>
        <v/>
      </c>
    </row>
    <row r="77">
      <c r="A77" s="7" t="n">
        <v>46111</v>
      </c>
      <c r="B77" s="12">
        <f>IF(E77="","",E77-F77)</f>
        <v/>
      </c>
      <c r="C77" s="4">
        <f>IF(B77="","",MAX($B$4:B77))</f>
        <v/>
      </c>
      <c r="D77" s="6">
        <f>IF(OR(B77="",C77=0),"",B77/C77-1)</f>
        <v/>
      </c>
      <c r="E77" s="13" t="n">
        <v>98958.33</v>
      </c>
      <c r="F77" s="13">
        <f>IFERROR(VLOOKUP(A77, HK_IPO!A:C, 3, TRUE), 0)</f>
        <v/>
      </c>
    </row>
    <row r="78">
      <c r="A78" s="7" t="n">
        <v>46112</v>
      </c>
      <c r="B78" s="12">
        <f>IF(E78="","",E78-F78)</f>
        <v/>
      </c>
      <c r="C78" s="4">
        <f>IF(B78="","",MAX($B$4:B78))</f>
        <v/>
      </c>
      <c r="D78" s="6">
        <f>IF(OR(B78="",C78=0),"",B78/C78-1)</f>
        <v/>
      </c>
      <c r="E78" s="13" t="n">
        <v>100927</v>
      </c>
      <c r="F78" s="13">
        <f>IFERROR(VLOOKUP(A78, HK_IPO!A:C, 3, TRUE), 0)</f>
        <v/>
      </c>
    </row>
    <row r="79">
      <c r="A79" s="7" t="n">
        <v>46113</v>
      </c>
      <c r="B79" s="12">
        <f>IF(E79="","",E79-F79)</f>
        <v/>
      </c>
      <c r="C79" s="4">
        <f>IF(B79="","",MAX($B$4:B79))</f>
        <v/>
      </c>
      <c r="D79" s="6">
        <f>IF(OR(B79="",C79=0),"",B79/C79-1)</f>
        <v/>
      </c>
      <c r="E79" s="13" t="n">
        <v>101498.67</v>
      </c>
      <c r="F79" s="13">
        <f>IFERROR(VLOOKUP(A79, HK_IPO!A:C, 3, TRUE), 0)</f>
        <v/>
      </c>
    </row>
    <row r="80">
      <c r="A80" s="7" t="n">
        <v>46114</v>
      </c>
      <c r="B80" s="12">
        <f>IF(E80="","",E80-F80)</f>
        <v/>
      </c>
      <c r="C80" s="4">
        <f>IF(B80="","",MAX($B$4:B80))</f>
        <v/>
      </c>
      <c r="D80" s="6">
        <f>IF(OR(B80="",C80=0),"",B80/C80-1)</f>
        <v/>
      </c>
      <c r="E80" s="13" t="n">
        <v>101667.95</v>
      </c>
      <c r="F80" s="13">
        <f>IFERROR(VLOOKUP(A80, HK_IPO!A:C, 3, TRUE), 0)</f>
        <v/>
      </c>
    </row>
    <row r="81">
      <c r="A81" s="7" t="n">
        <v>46115</v>
      </c>
      <c r="B81" s="12">
        <f>IF(E81="","",E81-F81)</f>
        <v/>
      </c>
      <c r="C81" s="4">
        <f>IF(B81="","",MAX($B$4:B81))</f>
        <v/>
      </c>
      <c r="D81" s="6">
        <f>IF(OR(B81="",C81=0),"",B81/C81-1)</f>
        <v/>
      </c>
      <c r="E81" s="13" t="n">
        <v>101668.1</v>
      </c>
      <c r="F81" s="13">
        <f>IFERROR(VLOOKUP(A81, HK_IPO!A:C, 3, TRUE), 0)</f>
        <v/>
      </c>
    </row>
    <row r="82">
      <c r="A82" s="7" t="n">
        <v>46116</v>
      </c>
      <c r="B82" s="12">
        <f>IF(E82="","",E82-F82)</f>
        <v/>
      </c>
      <c r="C82" s="4">
        <f>IF(B82="","",MAX($B$4:B82))</f>
        <v/>
      </c>
      <c r="D82" s="6">
        <f>IF(OR(B82="",C82=0),"",B82/C82-1)</f>
        <v/>
      </c>
      <c r="E82" s="13" t="n">
        <v>101667.99</v>
      </c>
      <c r="F82" s="13">
        <f>IFERROR(VLOOKUP(A82, HK_IPO!A:C, 3, TRUE), 0)</f>
        <v/>
      </c>
    </row>
    <row r="83">
      <c r="A83" s="7" t="n">
        <v>46117</v>
      </c>
      <c r="B83" s="12">
        <f>IF(E83="","",E83-F83)</f>
        <v/>
      </c>
      <c r="C83" s="4">
        <f>IF(B83="","",MAX($B$4:B83))</f>
        <v/>
      </c>
      <c r="D83" s="6">
        <f>IF(OR(B83="",C83=0),"",B83/C83-1)</f>
        <v/>
      </c>
      <c r="E83" s="13" t="n">
        <v>101668.07</v>
      </c>
      <c r="F83" s="13">
        <f>IFERROR(VLOOKUP(A83, HK_IPO!A:C, 3, TRUE), 0)</f>
        <v/>
      </c>
    </row>
    <row r="84">
      <c r="A84" s="7" t="n">
        <v>46118</v>
      </c>
      <c r="B84" s="12">
        <f>IF(E84="","",E84-F84)</f>
        <v/>
      </c>
      <c r="C84" s="4">
        <f>IF(B84="","",MAX($B$4:B84))</f>
        <v/>
      </c>
      <c r="D84" s="6">
        <f>IF(OR(B84="",C84=0),"",B84/C84-1)</f>
        <v/>
      </c>
      <c r="E84" s="13" t="n">
        <v>102007.9</v>
      </c>
      <c r="F84" s="13">
        <f>IFERROR(VLOOKUP(A84, HK_IPO!A:C, 3, TRUE), 0)</f>
        <v/>
      </c>
    </row>
    <row r="85">
      <c r="A85" s="7" t="n">
        <v>46119</v>
      </c>
      <c r="B85" s="12">
        <f>IF(E85="","",E85-F85)</f>
        <v/>
      </c>
      <c r="C85" s="4">
        <f>IF(B85="","",MAX($B$4:B85))</f>
        <v/>
      </c>
      <c r="D85" s="6">
        <f>IF(OR(B85="",C85=0),"",B85/C85-1)</f>
        <v/>
      </c>
      <c r="E85" s="13" t="n">
        <v>101935.83</v>
      </c>
      <c r="F85" s="13">
        <f>IFERROR(VLOOKUP(A85, HK_IPO!A:C, 3, TRUE), 0)</f>
        <v/>
      </c>
    </row>
    <row r="86">
      <c r="A86" s="7" t="n">
        <v>46120</v>
      </c>
      <c r="B86" s="12">
        <f>IF(E86="","",E86-F86)</f>
        <v/>
      </c>
      <c r="C86" s="4">
        <f>IF(B86="","",MAX($B$4:B86))</f>
        <v/>
      </c>
      <c r="D86" s="6">
        <f>IF(OR(B86="",C86=0),"",B86/C86-1)</f>
        <v/>
      </c>
      <c r="E86" s="13" t="n">
        <v>103713.74</v>
      </c>
      <c r="F86" s="13">
        <f>IFERROR(VLOOKUP(A86, HK_IPO!A:C, 3, TRUE), 0)</f>
        <v/>
      </c>
    </row>
    <row r="87">
      <c r="A87" s="7" t="n">
        <v>46121</v>
      </c>
      <c r="B87" s="12">
        <f>IF(E87="","",E87-F87)</f>
        <v/>
      </c>
      <c r="C87" s="4">
        <f>IF(B87="","",MAX($B$4:B87))</f>
        <v/>
      </c>
      <c r="D87" s="6">
        <f>IF(OR(B87="",C87=0),"",B87/C87-1)</f>
        <v/>
      </c>
      <c r="E87" s="13" t="n">
        <v>104314.66</v>
      </c>
      <c r="F87" s="13">
        <f>IFERROR(VLOOKUP(A87, HK_IPO!A:C, 3, TRUE), 0)</f>
        <v/>
      </c>
    </row>
    <row r="88">
      <c r="A88" s="7" t="n">
        <v>46122</v>
      </c>
      <c r="B88" s="12">
        <f>IF(E88="","",E88-F88)</f>
        <v/>
      </c>
      <c r="C88" s="4">
        <f>IF(B88="","",MAX($B$4:B88))</f>
        <v/>
      </c>
      <c r="D88" s="6">
        <f>IF(OR(B88="",C88=0),"",B88/C88-1)</f>
        <v/>
      </c>
      <c r="E88" s="13" t="n">
        <v>104595.08</v>
      </c>
      <c r="F88" s="13">
        <f>IFERROR(VLOOKUP(A88, HK_IPO!A:C, 3, TRUE), 0)</f>
        <v/>
      </c>
    </row>
    <row r="89">
      <c r="A89" s="7" t="n">
        <v>46123</v>
      </c>
      <c r="B89" s="12">
        <f>IF(E89="","",E89-F89)</f>
        <v/>
      </c>
      <c r="C89" s="4">
        <f>IF(B89="","",MAX($B$4:B89))</f>
        <v/>
      </c>
      <c r="D89" s="6">
        <f>IF(OR(B89="",C89=0),"",B89/C89-1)</f>
        <v/>
      </c>
      <c r="E89" s="13" t="n">
        <v>104594.96</v>
      </c>
      <c r="F89" s="13">
        <f>IFERROR(VLOOKUP(A89, HK_IPO!A:C, 3, TRUE), 0)</f>
        <v/>
      </c>
    </row>
    <row r="90">
      <c r="A90" s="7" t="n">
        <v>46124</v>
      </c>
      <c r="B90" s="12">
        <f>IF(E90="","",E90-F90)</f>
        <v/>
      </c>
      <c r="C90" s="4">
        <f>IF(B90="","",MAX($B$4:B90))</f>
        <v/>
      </c>
      <c r="D90" s="6">
        <f>IF(OR(B90="",C90=0),"",B90/C90-1)</f>
        <v/>
      </c>
      <c r="E90" s="13" t="n">
        <v>104594.98</v>
      </c>
      <c r="F90" s="13">
        <f>IFERROR(VLOOKUP(A90, HK_IPO!A:C, 3, TRUE), 0)</f>
        <v/>
      </c>
    </row>
    <row r="91">
      <c r="A91" s="7" t="n">
        <v>46125</v>
      </c>
      <c r="B91" s="12">
        <f>IF(E91="","",E91-F91)</f>
        <v/>
      </c>
      <c r="C91" s="4">
        <f>IF(B91="","",MAX($B$4:B91))</f>
        <v/>
      </c>
      <c r="D91" s="6">
        <f>IF(OR(B91="",C91=0),"",B91/C91-1)</f>
        <v/>
      </c>
      <c r="E91" s="13" t="n">
        <v>105312.3</v>
      </c>
      <c r="F91" s="13">
        <f>IFERROR(VLOOKUP(A91, HK_IPO!A:C, 3, TRUE), 0)</f>
        <v/>
      </c>
    </row>
    <row r="92">
      <c r="A92" s="7" t="n">
        <v>46126</v>
      </c>
      <c r="B92" s="12">
        <f>IF(E92="","",E92-F92)</f>
        <v/>
      </c>
      <c r="C92" s="4">
        <f>IF(B92="","",MAX($B$4:B92))</f>
        <v/>
      </c>
      <c r="D92" s="6">
        <f>IF(OR(B92="",C92=0),"",B92/C92-1)</f>
        <v/>
      </c>
      <c r="E92" s="13" t="n">
        <v>106199.68</v>
      </c>
      <c r="F92" s="13">
        <f>IFERROR(VLOOKUP(A92, HK_IPO!A:C, 3, TRUE), 0)</f>
        <v/>
      </c>
    </row>
    <row r="93">
      <c r="A93" s="7" t="n">
        <v>46127</v>
      </c>
      <c r="B93" s="12">
        <f>IF(E93="","",E93-F93)</f>
        <v/>
      </c>
      <c r="C93" s="4">
        <f>IF(B93="","",MAX($B$4:B93))</f>
        <v/>
      </c>
      <c r="D93" s="6">
        <f>IF(OR(B93="",C93=0),"",B93/C93-1)</f>
        <v/>
      </c>
      <c r="E93" s="13" t="n">
        <v>106662.81</v>
      </c>
      <c r="F93" s="13">
        <f>IFERROR(VLOOKUP(A93, HK_IPO!A:C, 3, TRUE), 0)</f>
        <v/>
      </c>
    </row>
    <row r="94">
      <c r="A94" s="7" t="n">
        <v>46128</v>
      </c>
      <c r="B94" s="12">
        <f>IF(E94="","",E94-F94)</f>
        <v/>
      </c>
      <c r="C94" s="4">
        <f>IF(B94="","",MAX($B$4:B94))</f>
        <v/>
      </c>
      <c r="D94" s="6">
        <f>IF(OR(B94="",C94=0),"",B94/C94-1)</f>
        <v/>
      </c>
      <c r="E94" s="13" t="n">
        <v>107608.62</v>
      </c>
      <c r="F94" s="13">
        <f>IFERROR(VLOOKUP(A94, HK_IPO!A:C, 3, TRUE), 0)</f>
        <v/>
      </c>
    </row>
    <row r="95">
      <c r="A95" s="7" t="n">
        <v>46129</v>
      </c>
      <c r="B95" s="12">
        <f>IF(E95="","",E95-F95)</f>
        <v/>
      </c>
      <c r="C95" s="4">
        <f>IF(B95="","",MAX($B$4:B95))</f>
        <v/>
      </c>
      <c r="D95" s="6">
        <f>IF(OR(B95="",C95=0),"",B95/C95-1)</f>
        <v/>
      </c>
      <c r="E95" s="13" t="n">
        <v>108221.2</v>
      </c>
      <c r="F95" s="13">
        <f>IFERROR(VLOOKUP(A95, HK_IPO!A:C, 3, TRUE), 0)</f>
        <v/>
      </c>
    </row>
    <row r="96">
      <c r="A96" s="7" t="n">
        <v>46130</v>
      </c>
      <c r="B96" s="12">
        <f>IF(E96="","",E96-F96)</f>
        <v/>
      </c>
      <c r="C96" s="4">
        <f>IF(B96="","",MAX($B$4:B96))</f>
        <v/>
      </c>
      <c r="D96" s="6">
        <f>IF(OR(B96="",C96=0),"",B96/C96-1)</f>
        <v/>
      </c>
      <c r="E96" s="13" t="n">
        <v>108215.24</v>
      </c>
      <c r="F96" s="13">
        <f>IFERROR(VLOOKUP(A96, HK_IPO!A:C, 3, TRUE), 0)</f>
        <v/>
      </c>
    </row>
    <row r="97">
      <c r="A97" s="7" t="n">
        <v>46131</v>
      </c>
      <c r="B97" s="12">
        <f>IF(E97="","",E97-F97)</f>
        <v/>
      </c>
      <c r="C97" s="4">
        <f>IF(B97="","",MAX($B$4:B97))</f>
        <v/>
      </c>
      <c r="D97" s="6">
        <f>IF(OR(B97="",C97=0),"",B97/C97-1)</f>
        <v/>
      </c>
      <c r="E97" s="13" t="n">
        <v>108220.03</v>
      </c>
      <c r="F97" s="13">
        <f>IFERROR(VLOOKUP(A97, HK_IPO!A:C, 3, TRUE), 0)</f>
        <v/>
      </c>
    </row>
    <row r="98">
      <c r="A98" s="7" t="n">
        <v>46132</v>
      </c>
      <c r="B98" s="12">
        <f>IF(E98="","",E98-F98)</f>
        <v/>
      </c>
      <c r="C98" s="4">
        <f>IF(B98="","",MAX($B$4:B98))</f>
        <v/>
      </c>
      <c r="D98" s="6">
        <f>IF(OR(B98="",C98=0),"",B98/C98-1)</f>
        <v/>
      </c>
      <c r="E98" s="13" t="n">
        <v>111311.87</v>
      </c>
      <c r="F98" s="13">
        <f>IFERROR(VLOOKUP(A98, HK_IPO!A:C, 3, TRUE), 0)</f>
        <v/>
      </c>
    </row>
    <row r="99">
      <c r="A99" s="7" t="n">
        <v>46133</v>
      </c>
      <c r="B99" s="12">
        <f>IF(E99="","",E99-F99)</f>
        <v/>
      </c>
      <c r="C99" s="4">
        <f>IF(B99="","",MAX($B$4:B99))</f>
        <v/>
      </c>
      <c r="D99" s="6">
        <f>IF(OR(B99="",C99=0),"",B99/C99-1)</f>
        <v/>
      </c>
      <c r="E99" s="13" t="n">
        <v>110934.23</v>
      </c>
      <c r="F99" s="13">
        <f>IFERROR(VLOOKUP(A99, HK_IPO!A:C, 3, TRUE), 0)</f>
        <v/>
      </c>
    </row>
    <row r="100">
      <c r="A100" s="7" t="n">
        <v>46134</v>
      </c>
      <c r="B100" s="12">
        <f>IF(E100="","",E100-F100)</f>
        <v/>
      </c>
      <c r="C100" s="4">
        <f>IF(B100="","",MAX($B$4:B100))</f>
        <v/>
      </c>
      <c r="D100" s="6">
        <f>IF(OR(B100="",C100=0),"",B100/C100-1)</f>
        <v/>
      </c>
      <c r="E100" s="13" t="n">
        <v>112145.88</v>
      </c>
      <c r="F100" s="13">
        <f>IFERROR(VLOOKUP(A100, HK_IPO!A:C, 3, TRUE), 0)</f>
        <v/>
      </c>
    </row>
    <row r="101">
      <c r="A101" s="7" t="n">
        <v>46135</v>
      </c>
      <c r="B101" s="12">
        <f>IF(E101="","",E101-F101)</f>
        <v/>
      </c>
      <c r="C101" s="4">
        <f>IF(B101="","",MAX($B$4:B101))</f>
        <v/>
      </c>
      <c r="D101" s="6">
        <f>IF(OR(B101="",C101=0),"",B101/C101-1)</f>
        <v/>
      </c>
      <c r="E101" s="13" t="n">
        <v>111851.61</v>
      </c>
      <c r="F101" s="13">
        <f>IFERROR(VLOOKUP(A101, HK_IPO!A:C, 3, TRUE), 0)</f>
        <v/>
      </c>
    </row>
    <row r="102">
      <c r="A102" s="7" t="n">
        <v>46136</v>
      </c>
      <c r="B102" s="12">
        <f>IF(E102="","",E102-F102)</f>
        <v/>
      </c>
      <c r="C102" s="4">
        <f>IF(B102="","",MAX($B$4:B102))</f>
        <v/>
      </c>
      <c r="D102" s="6">
        <f>IF(OR(B102="",C102=0),"",B102/C102-1)</f>
        <v/>
      </c>
      <c r="E102" s="13" t="n">
        <v>113111.59</v>
      </c>
      <c r="F102" s="13">
        <f>IFERROR(VLOOKUP(A102, HK_IPO!A:C, 3, TRUE), 0)</f>
        <v/>
      </c>
    </row>
    <row r="103">
      <c r="A103" s="7" t="n">
        <v>46137</v>
      </c>
      <c r="B103" s="12">
        <f>IF(E103="","",E103-F103)</f>
        <v/>
      </c>
      <c r="C103" s="4">
        <f>IF(B103="","",MAX($B$4:B103))</f>
        <v/>
      </c>
      <c r="D103" s="6">
        <f>IF(OR(B103="",C103=0),"",B103/C103-1)</f>
        <v/>
      </c>
      <c r="E103" s="13" t="n">
        <v>113111.5</v>
      </c>
      <c r="F103" s="13">
        <f>IFERROR(VLOOKUP(A103, HK_IPO!A:C, 3, TRUE), 0)</f>
        <v/>
      </c>
    </row>
    <row r="104">
      <c r="A104" s="7" t="n">
        <v>46138</v>
      </c>
      <c r="B104" s="12">
        <f>IF(E104="","",E104-F104)</f>
        <v/>
      </c>
      <c r="C104" s="4">
        <f>IF(B104="","",MAX($B$4:B104))</f>
        <v/>
      </c>
      <c r="D104" s="6">
        <f>IF(OR(B104="",C104=0),"",B104/C104-1)</f>
        <v/>
      </c>
      <c r="E104" s="13" t="n">
        <v>113111.34</v>
      </c>
      <c r="F104" s="13">
        <f>IFERROR(VLOOKUP(A104, HK_IPO!A:C, 3, TRUE), 0)</f>
        <v/>
      </c>
    </row>
    <row r="105">
      <c r="A105" s="7" t="n">
        <v>46139</v>
      </c>
      <c r="B105" s="12">
        <f>IF(E105="","",E105-F105)</f>
        <v/>
      </c>
      <c r="C105" s="4">
        <f>IF(B105="","",MAX($B$4:B105))</f>
        <v/>
      </c>
      <c r="D105" s="6">
        <f>IF(OR(B105="",C105=0),"",B105/C105-1)</f>
        <v/>
      </c>
      <c r="E105" s="13" t="n">
        <v>115629.12</v>
      </c>
      <c r="F105" s="13">
        <f>IFERROR(VLOOKUP(A105, HK_IPO!A:C, 3, TRUE), 0)</f>
        <v/>
      </c>
    </row>
    <row r="106">
      <c r="A106" s="7" t="n">
        <v>46140</v>
      </c>
      <c r="B106" s="12">
        <f>IF(E106="","",E106-F106)</f>
        <v/>
      </c>
      <c r="C106" s="4">
        <f>IF(B106="","",MAX($B$4:B106))</f>
        <v/>
      </c>
      <c r="D106" s="6">
        <f>IF(OR(B106="",C106=0),"",B106/C106-1)</f>
        <v/>
      </c>
      <c r="E106" s="13" t="n">
        <v>114230.13</v>
      </c>
      <c r="F106" s="13">
        <f>IFERROR(VLOOKUP(A106, HK_IPO!A:C, 3, TRUE), 0)</f>
        <v/>
      </c>
    </row>
    <row r="107">
      <c r="A107" s="7" t="n">
        <v>46141</v>
      </c>
      <c r="B107" s="12">
        <f>IF(E107="","",E107-F107)</f>
        <v/>
      </c>
      <c r="C107" s="4">
        <f>IF(B107="","",MAX($B$4:B107))</f>
        <v/>
      </c>
      <c r="D107" s="6">
        <f>IF(OR(B107="",C107=0),"",B107/C107-1)</f>
        <v/>
      </c>
      <c r="E107" s="13" t="n">
        <v>114536.42</v>
      </c>
      <c r="F107" s="13">
        <f>IFERROR(VLOOKUP(A107, HK_IPO!A:C, 3, TRUE), 0)</f>
        <v/>
      </c>
    </row>
    <row r="108">
      <c r="A108" s="7" t="n">
        <v>46142</v>
      </c>
      <c r="B108" s="12">
        <f>IF(E108="","",E108-F108)</f>
        <v/>
      </c>
      <c r="C108" s="4">
        <f>IF(B108="","",MAX($B$4:B108))</f>
        <v/>
      </c>
      <c r="D108" s="6">
        <f>IF(OR(B108="",C108=0),"",B108/C108-1)</f>
        <v/>
      </c>
      <c r="E108" s="13" t="n">
        <v>115225.15</v>
      </c>
      <c r="F108" s="13">
        <f>IFERROR(VLOOKUP(A108, HK_IPO!A:C, 3, TRUE), 0)</f>
        <v/>
      </c>
    </row>
    <row r="109">
      <c r="A109" s="7" t="n">
        <v>46143</v>
      </c>
      <c r="B109" s="12">
        <f>IF(E109="","",E109-F109)</f>
        <v/>
      </c>
      <c r="C109" s="4">
        <f>IF(B109="","",MAX($B$4:B109))</f>
        <v/>
      </c>
      <c r="D109" s="6">
        <f>IF(OR(B109="",C109=0),"",B109/C109-1)</f>
        <v/>
      </c>
      <c r="E109" s="13" t="n">
        <v>115515.82</v>
      </c>
      <c r="F109" s="13">
        <f>IFERROR(VLOOKUP(A109, HK_IPO!A:C, 3, TRUE), 0)</f>
        <v/>
      </c>
    </row>
    <row r="110">
      <c r="A110" s="7" t="n">
        <v>46144</v>
      </c>
      <c r="B110" s="12">
        <f>IF(E110="","",E110-F110)</f>
        <v/>
      </c>
      <c r="C110" s="4">
        <f>IF(B110="","",MAX($B$4:B110))</f>
        <v/>
      </c>
      <c r="D110" s="6">
        <f>IF(OR(B110="",C110=0),"",B110/C110-1)</f>
        <v/>
      </c>
      <c r="E110" s="13" t="n">
        <v>115514.89</v>
      </c>
      <c r="F110" s="13">
        <f>IFERROR(VLOOKUP(A110, HK_IPO!A:C, 3, TRUE), 0)</f>
        <v/>
      </c>
    </row>
    <row r="111">
      <c r="A111" s="7" t="n">
        <v>46145</v>
      </c>
      <c r="B111" s="12">
        <f>IF(E111="","",E111-F111)</f>
        <v/>
      </c>
      <c r="C111" s="4">
        <f>IF(B111="","",MAX($B$4:B111))</f>
        <v/>
      </c>
      <c r="D111" s="6">
        <f>IF(OR(B111="",C111=0),"",B111/C111-1)</f>
        <v/>
      </c>
      <c r="E111" s="13" t="n">
        <v>115515.07</v>
      </c>
      <c r="F111" s="13">
        <f>IFERROR(VLOOKUP(A111, HK_IPO!A:C, 3, TRUE), 0)</f>
        <v/>
      </c>
    </row>
    <row r="112">
      <c r="A112" s="7" t="n">
        <v>46146</v>
      </c>
      <c r="B112" s="12">
        <f>IF(E112="","",E112-F112)</f>
        <v/>
      </c>
      <c r="C112" s="4">
        <f>IF(B112="","",MAX($B$4:B112))</f>
        <v/>
      </c>
      <c r="D112" s="6">
        <f>IF(OR(B112="",C112=0),"",B112/C112-1)</f>
        <v/>
      </c>
      <c r="E112" s="13" t="n">
        <v>115211.38</v>
      </c>
      <c r="F112" s="13">
        <f>IFERROR(VLOOKUP(A112, HK_IPO!A:C, 3, TRUE), 0)</f>
        <v/>
      </c>
    </row>
    <row r="113">
      <c r="A113" s="7" t="n">
        <v>46147</v>
      </c>
      <c r="B113" s="12">
        <f>IF(E113="","",E113-F113)</f>
        <v/>
      </c>
      <c r="C113" s="4">
        <f>IF(B113="","",MAX($B$4:B113))</f>
        <v/>
      </c>
      <c r="D113" s="6">
        <f>IF(OR(B113="",C113=0),"",B113/C113-1)</f>
        <v/>
      </c>
      <c r="E113" s="13" t="n">
        <v>116266.17</v>
      </c>
      <c r="F113" s="13">
        <f>IFERROR(VLOOKUP(A113, HK_IPO!A:C, 3, TRUE), 0)</f>
        <v/>
      </c>
    </row>
    <row r="114">
      <c r="A114" s="7" t="n">
        <v>46148</v>
      </c>
      <c r="B114" s="12">
        <f>IF(E114="","",E114-F114)</f>
        <v/>
      </c>
      <c r="C114" s="4">
        <f>IF(B114="","",MAX($B$4:B114))</f>
        <v/>
      </c>
      <c r="D114" s="6">
        <f>IF(OR(B114="",C114=0),"",B114/C114-1)</f>
        <v/>
      </c>
      <c r="E114" s="13" t="n">
        <v>122502.18</v>
      </c>
      <c r="F114" s="13">
        <f>IFERROR(VLOOKUP(A114, HK_IPO!A:C, 3, TRUE), 0)</f>
        <v/>
      </c>
    </row>
    <row r="115">
      <c r="A115" s="7" t="n">
        <v>46149</v>
      </c>
      <c r="B115" s="12">
        <f>IF(E115="","",E115-F115)</f>
        <v/>
      </c>
      <c r="C115" s="4">
        <f>IF(B115="","",MAX($B$4:B115))</f>
        <v/>
      </c>
      <c r="D115" s="6">
        <f>IF(OR(B115="",C115=0),"",B115/C115-1)</f>
        <v/>
      </c>
      <c r="E115" s="13" t="n">
        <v>122047.56</v>
      </c>
      <c r="F115" s="13">
        <f>IFERROR(VLOOKUP(A115, HK_IPO!A:C, 3, TRUE), 0)</f>
        <v/>
      </c>
    </row>
    <row r="116">
      <c r="A116" s="7" t="n">
        <v>46150</v>
      </c>
      <c r="B116" s="12">
        <f>IF(E116="","",E116-F116)</f>
        <v/>
      </c>
      <c r="C116" s="4">
        <f>IF(B116="","",MAX($B$4:B116))</f>
        <v/>
      </c>
      <c r="D116" s="6">
        <f>IF(OR(B116="",C116=0),"",B116/C116-1)</f>
        <v/>
      </c>
      <c r="E116" s="13" t="n">
        <v>123446.43</v>
      </c>
      <c r="F116" s="13">
        <f>IFERROR(VLOOKUP(A116, HK_IPO!A:C, 3, TRUE), 0)</f>
        <v/>
      </c>
    </row>
    <row r="117">
      <c r="A117" s="7" t="n">
        <v>46151</v>
      </c>
      <c r="B117" s="12">
        <f>IF(E117="","",E117-F117)</f>
        <v/>
      </c>
      <c r="C117" s="4">
        <f>IF(B117="","",MAX($B$4:B117))</f>
        <v/>
      </c>
      <c r="D117" s="6">
        <f>IF(OR(B117="",C117=0),"",B117/C117-1)</f>
        <v/>
      </c>
      <c r="E117" s="13" t="n">
        <v>123429.88</v>
      </c>
      <c r="F117" s="13">
        <f>IFERROR(VLOOKUP(A117, HK_IPO!A:C, 3, TRUE), 0)</f>
        <v/>
      </c>
    </row>
    <row r="118">
      <c r="A118" s="7" t="n">
        <v>46152</v>
      </c>
      <c r="B118" s="12">
        <f>IF(E118="","",E118-F118)</f>
        <v/>
      </c>
      <c r="C118" s="4">
        <f>IF(B118="","",MAX($B$4:B118))</f>
        <v/>
      </c>
      <c r="D118" s="6">
        <f>IF(OR(B118="",C118=0),"",B118/C118-1)</f>
        <v/>
      </c>
      <c r="E118" s="13" t="n">
        <v>123413.28</v>
      </c>
      <c r="F118" s="13">
        <f>IFERROR(VLOOKUP(A118, HK_IPO!A:C, 3, TRUE), 0)</f>
        <v/>
      </c>
    </row>
    <row r="119">
      <c r="A119" s="7" t="n">
        <v>46153</v>
      </c>
      <c r="B119" s="12">
        <f>IF(E119="","",E119-F119)</f>
        <v/>
      </c>
      <c r="C119" s="4">
        <f>IF(B119="","",MAX($B$4:B119))</f>
        <v/>
      </c>
      <c r="D119" s="6">
        <f>IF(OR(B119="",C119=0),"",B119/C119-1)</f>
        <v/>
      </c>
      <c r="E119" s="13" t="n">
        <v>123975.11</v>
      </c>
      <c r="F119" s="13">
        <f>IFERROR(VLOOKUP(A119, HK_IPO!A:C, 3, TRUE), 0)</f>
        <v/>
      </c>
    </row>
    <row r="120">
      <c r="A120" s="7" t="n">
        <v>46154</v>
      </c>
      <c r="B120" s="12">
        <f>IF(E120="","",E120-F120)</f>
        <v/>
      </c>
      <c r="C120" s="4">
        <f>IF(B120="","",MAX($B$4:B120))</f>
        <v/>
      </c>
      <c r="D120" s="6">
        <f>IF(OR(B120="",C120=0),"",B120/C120-1)</f>
        <v/>
      </c>
      <c r="E120" s="13" t="n">
        <v>127589.92</v>
      </c>
      <c r="F120" s="13">
        <f>IFERROR(VLOOKUP(A120, HK_IPO!A:C, 3, TRUE), 0)</f>
        <v/>
      </c>
    </row>
    <row r="121">
      <c r="A121" s="7" t="n">
        <v>46155</v>
      </c>
      <c r="B121" s="12">
        <f>IF(E121="","",E121-F121)</f>
        <v/>
      </c>
      <c r="C121" s="4">
        <f>IF(B121="","",MAX($B$4:B121))</f>
        <v/>
      </c>
      <c r="D121" s="6">
        <f>IF(OR(B121="",C121=0),"",B121/C121-1)</f>
        <v/>
      </c>
      <c r="E121" s="13" t="n">
        <v>128635.59</v>
      </c>
      <c r="F121" s="13">
        <f>IFERROR(VLOOKUP(A121, HK_IPO!A:C, 3, TRUE), 0)</f>
        <v/>
      </c>
    </row>
    <row r="122">
      <c r="A122" s="7" t="n">
        <v>46156</v>
      </c>
      <c r="B122" s="12">
        <f>IF(E122="","",E122-F122)</f>
        <v/>
      </c>
      <c r="C122" s="4">
        <f>IF(B122="","",MAX($B$4:B122))</f>
        <v/>
      </c>
      <c r="D122" s="6">
        <f>IF(OR(B122="",C122=0),"",B122/C122-1)</f>
        <v/>
      </c>
      <c r="E122" s="13" t="n">
        <v>129310.67</v>
      </c>
      <c r="F122" s="13">
        <f>IFERROR(VLOOKUP(A122, HK_IPO!A:C, 3, TRUE), 0)</f>
        <v/>
      </c>
    </row>
    <row r="123">
      <c r="A123" s="7" t="n">
        <v>46157</v>
      </c>
      <c r="B123" s="12">
        <f>IF(E123="","",E123-F123)</f>
        <v/>
      </c>
      <c r="C123" s="4">
        <f>IF(B123="","",MAX($B$4:B123))</f>
        <v/>
      </c>
      <c r="D123" s="6">
        <f>IF(OR(B123="",C123=0),"",B123/C123-1)</f>
        <v/>
      </c>
      <c r="E123" s="13" t="n">
        <v>127777.44</v>
      </c>
      <c r="F123" s="13">
        <f>IFERROR(VLOOKUP(A123, HK_IPO!A:C, 3, TRUE), 0)</f>
        <v/>
      </c>
    </row>
    <row r="124">
      <c r="A124" s="7" t="n">
        <v>46158</v>
      </c>
      <c r="B124" s="12">
        <f>IF(E124="","",E124-F124)</f>
        <v/>
      </c>
      <c r="C124" s="4">
        <f>IF(B124="","",MAX($B$4:B124))</f>
        <v/>
      </c>
      <c r="D124" s="6">
        <f>IF(OR(B124="",C124=0),"",B124/C124-1)</f>
        <v/>
      </c>
      <c r="E124" s="13" t="n">
        <v>127757.52</v>
      </c>
      <c r="F124" s="13">
        <f>IFERROR(VLOOKUP(A124, HK_IPO!A:C, 3, TRUE), 0)</f>
        <v/>
      </c>
    </row>
    <row r="125">
      <c r="A125" s="7" t="n">
        <v>46159</v>
      </c>
      <c r="B125" s="12">
        <f>IF(E125="","",E125-F125)</f>
        <v/>
      </c>
      <c r="C125" s="4">
        <f>IF(B125="","",MAX($B$4:B125))</f>
        <v/>
      </c>
      <c r="D125" s="6">
        <f>IF(OR(B125="",C125=0),"",B125/C125-1)</f>
        <v/>
      </c>
      <c r="E125" s="13" t="n">
        <v>127741.05</v>
      </c>
      <c r="F125" s="13">
        <f>IFERROR(VLOOKUP(A125, HK_IPO!A:C, 3, TRUE), 0)</f>
        <v/>
      </c>
    </row>
    <row r="126">
      <c r="A126" s="7" t="n">
        <v>46160</v>
      </c>
      <c r="B126" s="12">
        <f>IF(E126="","",E126-F126)</f>
        <v/>
      </c>
      <c r="C126" s="4">
        <f>IF(B126="","",MAX($B$4:B126))</f>
        <v/>
      </c>
      <c r="D126" s="6">
        <f>IF(OR(B126="",C126=0),"",B126/C126-1)</f>
        <v/>
      </c>
      <c r="E126" s="13" t="n">
        <v>127311.69</v>
      </c>
      <c r="F126" s="13">
        <f>IFERROR(VLOOKUP(A126, HK_IPO!A:C, 3, TRUE), 0)</f>
        <v/>
      </c>
    </row>
    <row r="127">
      <c r="A127" s="7" t="n">
        <v>46161</v>
      </c>
      <c r="B127" s="12">
        <f>IF(E127="","",E127-F127)</f>
        <v/>
      </c>
      <c r="C127" s="4">
        <f>IF(B127="","",MAX($B$4:B127))</f>
        <v/>
      </c>
      <c r="D127" s="6">
        <f>IF(OR(B127="",C127=0),"",B127/C127-1)</f>
        <v/>
      </c>
      <c r="E127" s="13" t="n">
        <v>126398.18</v>
      </c>
      <c r="F127" s="13">
        <f>IFERROR(VLOOKUP(A127, HK_IPO!A:C, 3, TRUE), 0)</f>
        <v/>
      </c>
    </row>
    <row r="128">
      <c r="A128" s="7" t="n">
        <v>46162</v>
      </c>
      <c r="B128" s="12">
        <f>IF(E128="","",E128-F128)</f>
        <v/>
      </c>
      <c r="C128" s="4">
        <f>IF(B128="","",MAX($B$4:B128))</f>
        <v/>
      </c>
      <c r="D128" s="6">
        <f>IF(OR(B128="",C128=0),"",B128/C128-1)</f>
        <v/>
      </c>
      <c r="E128" s="13" t="n">
        <v>127612.84</v>
      </c>
      <c r="F128" s="13">
        <f>IFERROR(VLOOKUP(A128, HK_IPO!A:C, 3, TRUE), 0)</f>
        <v/>
      </c>
    </row>
    <row r="129">
      <c r="A129" s="7" t="n">
        <v>46163</v>
      </c>
      <c r="B129" s="12">
        <f>IF(E129="","",E129-F129)</f>
        <v/>
      </c>
      <c r="C129" s="4">
        <f>IF(B129="","",MAX($B$4:B129))</f>
        <v/>
      </c>
      <c r="D129" s="6">
        <f>IF(OR(B129="",C129=0),"",B129/C129-1)</f>
        <v/>
      </c>
      <c r="E129" s="13" t="n">
        <v>127810.11</v>
      </c>
      <c r="F129" s="13">
        <f>IFERROR(VLOOKUP(A129, HK_IPO!A:C, 3, TRUE), 0)</f>
        <v/>
      </c>
    </row>
    <row r="130">
      <c r="A130" s="7" t="n">
        <v>46164</v>
      </c>
      <c r="B130" s="12">
        <f>IF(E130="","",E130-F130)</f>
        <v/>
      </c>
      <c r="C130" s="4">
        <f>IF(B130="","",MAX($B$4:B130))</f>
        <v/>
      </c>
      <c r="D130" s="6">
        <f>IF(OR(B130="",C130=0),"",B130/C130-1)</f>
        <v/>
      </c>
      <c r="E130" s="13" t="n">
        <v>128423.91</v>
      </c>
      <c r="F130" s="13">
        <f>IFERROR(VLOOKUP(A130, HK_IPO!A:C, 3, TRUE), 0)</f>
        <v/>
      </c>
    </row>
    <row r="131">
      <c r="A131" s="7" t="n">
        <v>46165</v>
      </c>
      <c r="B131" s="12">
        <f>IF(E131="","",E131-F131)</f>
        <v/>
      </c>
      <c r="C131" s="4">
        <f>IF(B131="","",MAX($B$4:B131))</f>
        <v/>
      </c>
      <c r="D131" s="6">
        <f>IF(OR(B131="",C131=0),"",B131/C131-1)</f>
        <v/>
      </c>
      <c r="E131" s="13" t="n">
        <v>128423.5</v>
      </c>
      <c r="F131" s="13">
        <f>IFERROR(VLOOKUP(A131, HK_IPO!A:C, 3, TRUE), 0)</f>
        <v/>
      </c>
    </row>
    <row r="132">
      <c r="A132" s="7" t="n">
        <v>46166</v>
      </c>
      <c r="B132" s="12">
        <f>IF(E132="","",E132-F132)</f>
        <v/>
      </c>
      <c r="C132" s="4">
        <f>IF(B132="","",MAX($B$4:B132))</f>
        <v/>
      </c>
      <c r="D132" s="6">
        <f>IF(OR(B132="",C132=0),"",B132/C132-1)</f>
        <v/>
      </c>
      <c r="E132" s="13" t="n">
        <v>128423.55</v>
      </c>
      <c r="F132" s="13">
        <f>IFERROR(VLOOKUP(A132, HK_IPO!A:C, 3, TRUE), 0)</f>
        <v/>
      </c>
    </row>
    <row r="133">
      <c r="A133" s="7" t="n">
        <v>46167</v>
      </c>
      <c r="B133" s="12">
        <f>IF(E133="","",E133-F133)</f>
        <v/>
      </c>
      <c r="C133" s="4">
        <f>IF(B133="","",MAX($B$4:B133))</f>
        <v/>
      </c>
      <c r="D133" s="6">
        <f>IF(OR(B133="",C133=0),"",B133/C133-1)</f>
        <v/>
      </c>
      <c r="E133" s="13" t="n">
        <v>128424.31</v>
      </c>
      <c r="F133" s="13">
        <f>IFERROR(VLOOKUP(A133, HK_IPO!A:C, 3, TRUE), 0)</f>
        <v/>
      </c>
    </row>
    <row r="134">
      <c r="A134" s="7" t="n">
        <v>46168</v>
      </c>
      <c r="B134" s="12">
        <f>IF(E134="","",E134-F134)</f>
        <v/>
      </c>
      <c r="C134" s="4">
        <f>IF(B134="","",MAX($B$4:B134))</f>
        <v/>
      </c>
      <c r="D134" s="6">
        <f>IF(OR(B134="",C134=0),"",B134/C134-1)</f>
        <v/>
      </c>
      <c r="E134" s="13" t="n">
        <v>130096.83</v>
      </c>
      <c r="F134" s="13">
        <f>IFERROR(VLOOKUP(A134, HK_IPO!A:C, 3, TRUE), 0)</f>
        <v/>
      </c>
    </row>
    <row r="135">
      <c r="A135" s="7" t="n">
        <v>46169</v>
      </c>
      <c r="B135" s="12">
        <f>IF(E135="","",E135-F135)</f>
        <v/>
      </c>
      <c r="C135" s="4">
        <f>IF(B135="","",MAX($B$4:B135))</f>
        <v/>
      </c>
      <c r="D135" s="6">
        <f>IF(OR(B135="",C135=0),"",B135/C135-1)</f>
        <v/>
      </c>
      <c r="E135" s="13" t="n">
        <v>129993.27</v>
      </c>
      <c r="F135" s="13">
        <f>IFERROR(VLOOKUP(A135, HK_IPO!A:C, 3, TRUE), 0)</f>
        <v/>
      </c>
    </row>
    <row r="136">
      <c r="A136" s="7" t="n">
        <v>46170</v>
      </c>
      <c r="B136" s="12">
        <f>IF(E136="","",E136-F136)</f>
        <v/>
      </c>
      <c r="C136" s="4">
        <f>IF(B136="","",MAX($B$4:B136))</f>
        <v/>
      </c>
      <c r="D136" s="6">
        <f>IF(OR(B136="",C136=0),"",B136/C136-1)</f>
        <v/>
      </c>
      <c r="E136" s="13" t="n">
        <v>130549.96</v>
      </c>
      <c r="F136" s="13">
        <f>IFERROR(VLOOKUP(A136, HK_IPO!A:C, 3, TRUE), 0)</f>
        <v/>
      </c>
    </row>
    <row r="137">
      <c r="A137" s="7" t="n">
        <v>46171</v>
      </c>
      <c r="B137" s="12">
        <f>IF(E137="","",E137-F137)</f>
        <v/>
      </c>
      <c r="C137" s="4">
        <f>IF(B137="","",MAX($B$4:B137))</f>
        <v/>
      </c>
      <c r="D137" s="6">
        <f>IF(OR(B137="",C137=0),"",B137/C137-1)</f>
        <v/>
      </c>
      <c r="E137" s="13" t="n">
        <v>130617.58</v>
      </c>
      <c r="F137" s="13">
        <f>IFERROR(VLOOKUP(A137, HK_IPO!A:C, 3, TRUE), 0)</f>
        <v/>
      </c>
    </row>
    <row r="138">
      <c r="A138" s="7" t="n">
        <v>46172</v>
      </c>
      <c r="B138" s="12">
        <f>IF(E138="","",E138-F138)</f>
        <v/>
      </c>
      <c r="C138" s="4">
        <f>IF(B138="","",MAX($B$4:B138))</f>
        <v/>
      </c>
      <c r="D138" s="6">
        <f>IF(OR(B138="",C138=0),"",B138/C138-1)</f>
        <v/>
      </c>
      <c r="E138" s="13" t="n">
        <v>130600.34</v>
      </c>
      <c r="F138" s="13">
        <f>IFERROR(VLOOKUP(A138, HK_IPO!A:C, 3, TRUE), 0)</f>
        <v/>
      </c>
    </row>
    <row r="139">
      <c r="A139" s="7" t="n">
        <v>46173</v>
      </c>
      <c r="B139" s="12">
        <f>IF(E139="","",E139-F139)</f>
        <v/>
      </c>
      <c r="C139" s="4">
        <f>IF(B139="","",MAX($B$4:B139))</f>
        <v/>
      </c>
      <c r="D139" s="6">
        <f>IF(OR(B139="",C139=0),"",B139/C139-1)</f>
        <v/>
      </c>
      <c r="E139" s="13" t="n">
        <v>130583.13</v>
      </c>
      <c r="F139" s="13">
        <f>IFERROR(VLOOKUP(A139, HK_IPO!A:C, 3, TRUE), 0)</f>
        <v/>
      </c>
    </row>
    <row r="140">
      <c r="A140" s="7" t="n">
        <v>46174</v>
      </c>
      <c r="B140" s="12">
        <f>IF(E140="","",E140-F140)</f>
        <v/>
      </c>
      <c r="C140" s="4">
        <f>IF(B140="","",MAX($B$4:B140))</f>
        <v/>
      </c>
      <c r="D140" s="6">
        <f>IF(OR(B140="",C140=0),"",B140/C140-1)</f>
        <v/>
      </c>
      <c r="E140" s="13" t="n">
        <v>131122.59</v>
      </c>
      <c r="F140" s="13">
        <f>IFERROR(VLOOKUP(A140, HK_IPO!A:C, 3, TRUE), 0)</f>
        <v/>
      </c>
    </row>
    <row r="141">
      <c r="A141" s="7" t="n">
        <v>46175</v>
      </c>
      <c r="B141" s="12">
        <f>IF(E141="","",E141-F141)</f>
        <v/>
      </c>
      <c r="C141" s="4">
        <f>IF(B141="","",MAX($B$4:B141))</f>
        <v/>
      </c>
      <c r="D141" s="6">
        <f>IF(OR(B141="",C141=0),"",B141/C141-1)</f>
        <v/>
      </c>
      <c r="E141" s="13" t="n">
        <v>132918.97</v>
      </c>
      <c r="F141" s="13">
        <f>IFERROR(VLOOKUP(A141, HK_IPO!A:C, 3, TRUE), 0)</f>
        <v/>
      </c>
    </row>
    <row r="142">
      <c r="A142" s="7" t="n">
        <v>46176</v>
      </c>
      <c r="B142" s="12">
        <f>IF(E142="","",E142-F142)</f>
        <v/>
      </c>
      <c r="C142" s="4">
        <f>IF(B142="","",MAX($B$4:B142))</f>
        <v/>
      </c>
      <c r="D142" s="6">
        <f>IF(OR(B142="",C142=0),"",B142/C142-1)</f>
        <v/>
      </c>
      <c r="E142" s="13" t="n">
        <v>132133.61</v>
      </c>
      <c r="F142" s="13">
        <f>IFERROR(VLOOKUP(A142, HK_IPO!A:C, 3, TRUE), 0)</f>
        <v/>
      </c>
    </row>
    <row r="143">
      <c r="A143" s="7" t="n">
        <v>46177</v>
      </c>
      <c r="B143" s="12">
        <f>IF(E143="","",E143-F143)</f>
        <v/>
      </c>
      <c r="C143" s="4">
        <f>IF(B143="","",MAX($B$4:B143))</f>
        <v/>
      </c>
      <c r="D143" s="6">
        <f>IF(OR(B143="",C143=0),"",B143/C143-1)</f>
        <v/>
      </c>
      <c r="E143" s="13" t="n">
        <v>132029.55</v>
      </c>
      <c r="F143" s="13">
        <f>IFERROR(VLOOKUP(A143, HK_IPO!A:C, 3, TRUE), 0)</f>
        <v/>
      </c>
    </row>
    <row r="144">
      <c r="A144" s="7" t="n">
        <v>46178</v>
      </c>
      <c r="B144" s="12">
        <f>IF(E144="","",E144-F144)</f>
        <v/>
      </c>
      <c r="C144" s="4">
        <f>IF(B144="","",MAX($B$4:B144))</f>
        <v/>
      </c>
      <c r="D144" s="6">
        <f>IF(OR(B144="",C144=0),"",B144/C144-1)</f>
        <v/>
      </c>
      <c r="E144" s="13" t="n">
        <v>127377.27</v>
      </c>
      <c r="F144" s="13">
        <f>IFERROR(VLOOKUP(A144, HK_IPO!A:C, 3, TRUE), 0)</f>
        <v/>
      </c>
    </row>
    <row r="145">
      <c r="A145" s="7" t="n">
        <v>46179</v>
      </c>
      <c r="B145" s="12">
        <f>IF(E145="","",E145-F145)</f>
        <v/>
      </c>
      <c r="C145" s="4">
        <f>IF(B145="","",MAX($B$4:B145))</f>
        <v/>
      </c>
      <c r="D145" s="6">
        <f>IF(OR(B145="",C145=0),"",B145/C145-1)</f>
        <v/>
      </c>
      <c r="E145" s="13" t="n">
        <v>127377.24</v>
      </c>
      <c r="F145" s="13">
        <f>IFERROR(VLOOKUP(A145, HK_IPO!A:C, 3, TRUE), 0)</f>
        <v/>
      </c>
    </row>
    <row r="146">
      <c r="A146" s="7" t="n">
        <v>46180</v>
      </c>
      <c r="B146" s="12">
        <f>IF(E146="","",E146-F146)</f>
        <v/>
      </c>
      <c r="C146" s="4">
        <f>IF(B146="","",MAX($B$4:B146))</f>
        <v/>
      </c>
      <c r="D146" s="6">
        <f>IF(OR(B146="",C146=0),"",B146/C146-1)</f>
        <v/>
      </c>
      <c r="E146" s="13" t="n">
        <v>127377.21</v>
      </c>
      <c r="F146" s="13">
        <f>IFERROR(VLOOKUP(A146, HK_IPO!A:C, 3, TRUE), 0)</f>
        <v/>
      </c>
    </row>
    <row r="147">
      <c r="A147" s="7" t="n">
        <v>46181</v>
      </c>
      <c r="B147" s="12">
        <f>IF(E147="","",E147-F147)</f>
        <v/>
      </c>
      <c r="C147" s="4">
        <f>IF(B147="","",MAX($B$4:B147))</f>
        <v/>
      </c>
      <c r="D147" s="6">
        <f>IF(OR(B147="",C147=0),"",B147/C147-1)</f>
        <v/>
      </c>
      <c r="E147" s="13" t="n">
        <v>129016.84</v>
      </c>
      <c r="F147" s="13">
        <f>IFERROR(VLOOKUP(A147, HK_IPO!A:C, 3, TRUE), 0)</f>
        <v/>
      </c>
    </row>
    <row r="148">
      <c r="A148" s="7" t="n">
        <v>46182</v>
      </c>
      <c r="B148" s="12">
        <f>IF(E148="","",E148-F148)</f>
        <v/>
      </c>
      <c r="C148" s="4">
        <f>IF(B148="","",MAX($B$4:B148))</f>
        <v/>
      </c>
      <c r="D148" s="6">
        <f>IF(OR(B148="",C148=0),"",B148/C148-1)</f>
        <v/>
      </c>
      <c r="E148" s="13" t="n">
        <v>128634.53</v>
      </c>
      <c r="F148" s="13">
        <f>IFERROR(VLOOKUP(A148, HK_IPO!A:C, 3, TRUE), 0)</f>
        <v/>
      </c>
    </row>
    <row r="149">
      <c r="A149" s="7" t="n">
        <v>46183</v>
      </c>
      <c r="B149" s="12">
        <f>IF(E149="","",E149-F149)</f>
        <v/>
      </c>
      <c r="C149" s="4">
        <f>IF(B149="","",MAX($B$4:B149))</f>
        <v/>
      </c>
      <c r="D149" s="6">
        <f>IF(OR(B149="",C149=0),"",B149/C149-1)</f>
        <v/>
      </c>
      <c r="E149" s="13" t="n">
        <v>127437.96</v>
      </c>
      <c r="F149" s="13">
        <f>IFERROR(VLOOKUP(A149, HK_IPO!A:C, 3, TRUE), 0)</f>
        <v/>
      </c>
    </row>
    <row r="150">
      <c r="A150" s="7" t="n">
        <v>46184</v>
      </c>
      <c r="B150" s="12">
        <f>IF(E150="","",E150-F150)</f>
        <v/>
      </c>
      <c r="C150" s="4">
        <f>IF(B150="","",MAX($B$4:B150))</f>
        <v/>
      </c>
      <c r="D150" s="6">
        <f>IF(OR(B150="",C150=0),"",B150/C150-1)</f>
        <v/>
      </c>
      <c r="E150" s="13" t="n">
        <v>129114.55</v>
      </c>
      <c r="F150" s="13">
        <f>IFERROR(VLOOKUP(A150, HK_IPO!A:C, 3, TRUE), 0)</f>
        <v/>
      </c>
    </row>
    <row r="151">
      <c r="A151" s="7" t="n">
        <v>46185</v>
      </c>
      <c r="B151" s="12">
        <f>IF(E151="","",E151-F151)</f>
        <v/>
      </c>
      <c r="C151" s="4">
        <f>IF(B151="","",MAX($B$4:B151))</f>
        <v/>
      </c>
      <c r="D151" s="6">
        <f>IF(OR(B151="",C151=0),"",B151/C151-1)</f>
        <v/>
      </c>
      <c r="E151" s="13" t="n">
        <v>129502.83</v>
      </c>
      <c r="F151" s="13">
        <f>IFERROR(VLOOKUP(A151, HK_IPO!A:C, 3, TRUE), 0)</f>
        <v/>
      </c>
    </row>
    <row r="152">
      <c r="A152" s="7" t="n">
        <v>46186</v>
      </c>
      <c r="B152" s="12">
        <f>IF(E152="","",E152-F152)</f>
        <v/>
      </c>
      <c r="C152" s="4">
        <f>IF(B152="","",MAX($B$4:B152))</f>
        <v/>
      </c>
      <c r="D152" s="6">
        <f>IF(OR(B152="",C152=0),"",B152/C152-1)</f>
        <v/>
      </c>
      <c r="E152" s="13" t="n">
        <v>129485.19</v>
      </c>
      <c r="F152" s="13">
        <f>IFERROR(VLOOKUP(A152, HK_IPO!A:C, 3, TRUE), 0)</f>
        <v/>
      </c>
    </row>
    <row r="153">
      <c r="A153" s="7" t="n">
        <v>46187</v>
      </c>
      <c r="B153" s="12">
        <f>IF(E153="","",E153-F153)</f>
        <v/>
      </c>
      <c r="C153" s="4">
        <f>IF(B153="","",MAX($B$4:B153))</f>
        <v/>
      </c>
      <c r="D153" s="6">
        <f>IF(OR(B153="",C153=0),"",B153/C153-1)</f>
        <v/>
      </c>
      <c r="E153" s="13" t="n">
        <v>129467.72</v>
      </c>
      <c r="F153" s="13">
        <f>IFERROR(VLOOKUP(A153, HK_IPO!A:C, 3, TRUE), 0)</f>
        <v/>
      </c>
    </row>
    <row r="154">
      <c r="A154" s="7" t="n">
        <v>46188</v>
      </c>
      <c r="B154" s="12">
        <f>IF(E154="","",E154-F154)</f>
        <v/>
      </c>
      <c r="C154" s="4">
        <f>IF(B154="","",MAX($B$4:B154))</f>
        <v/>
      </c>
      <c r="D154" s="6">
        <f>IF(OR(B154="",C154=0),"",B154/C154-1)</f>
        <v/>
      </c>
      <c r="E154" s="13" t="n">
        <v>130951.56</v>
      </c>
      <c r="F154" s="13">
        <f>IFERROR(VLOOKUP(A154, HK_IPO!A:C, 3, TRUE), 0)</f>
        <v/>
      </c>
    </row>
    <row r="155">
      <c r="A155" s="7" t="n">
        <v>46189</v>
      </c>
      <c r="B155" s="12">
        <f>IF(E155="","",E155-F155)</f>
        <v/>
      </c>
      <c r="C155" s="4">
        <f>IF(B155="","",MAX($B$4:B155))</f>
        <v/>
      </c>
      <c r="D155" s="6">
        <f>IF(OR(B155="",C155=0),"",B155/C155-1)</f>
        <v/>
      </c>
      <c r="E155" s="13" t="n">
        <v>130888.19</v>
      </c>
      <c r="F155" s="13">
        <f>IFERROR(VLOOKUP(A155, HK_IPO!A:C, 3, TRUE), 0)</f>
        <v/>
      </c>
    </row>
    <row r="156">
      <c r="A156" s="7" t="n">
        <v>46190</v>
      </c>
      <c r="B156" s="12">
        <f>IF(E156="","",E156-F156)</f>
        <v/>
      </c>
      <c r="C156" s="4">
        <f>IF(B156="","",MAX($B$4:B156))</f>
        <v/>
      </c>
      <c r="D156" s="6">
        <f>IF(OR(B156="",C156=0),"",B156/C156-1)</f>
        <v/>
      </c>
      <c r="E156" s="14" t="n"/>
      <c r="F156" s="13">
        <f>IFERROR(VLOOKUP(A156, HK_IPO!A:C, 3, TRUE), 0)</f>
        <v/>
      </c>
    </row>
    <row r="157">
      <c r="A157" s="7" t="n">
        <v>46191</v>
      </c>
      <c r="B157" s="12">
        <f>IF(E157="","",E157-F157)</f>
        <v/>
      </c>
      <c r="C157" s="4">
        <f>IF(B157="","",MAX($B$4:B157))</f>
        <v/>
      </c>
      <c r="D157" s="6">
        <f>IF(OR(B157="",C157=0),"",B157/C157-1)</f>
        <v/>
      </c>
      <c r="E157" s="14" t="n"/>
      <c r="F157" s="13">
        <f>IFERROR(VLOOKUP(A157, HK_IPO!A:C, 3, TRUE), 0)</f>
        <v/>
      </c>
    </row>
    <row r="158">
      <c r="A158" s="7" t="n">
        <v>46192</v>
      </c>
      <c r="B158" s="12">
        <f>IF(E158="","",E158-F158)</f>
        <v/>
      </c>
      <c r="C158" s="4">
        <f>IF(B158="","",MAX($B$4:B158))</f>
        <v/>
      </c>
      <c r="D158" s="6">
        <f>IF(OR(B158="",C158=0),"",B158/C158-1)</f>
        <v/>
      </c>
      <c r="E158" s="14" t="n"/>
      <c r="F158" s="13">
        <f>IFERROR(VLOOKUP(A158, HK_IPO!A:C, 3, TRUE), 0)</f>
        <v/>
      </c>
    </row>
    <row r="159">
      <c r="A159" s="7" t="n">
        <v>46193</v>
      </c>
      <c r="B159" s="12">
        <f>IF(E159="","",E159-F159)</f>
        <v/>
      </c>
      <c r="C159" s="4">
        <f>IF(B159="","",MAX($B$4:B159))</f>
        <v/>
      </c>
      <c r="D159" s="6">
        <f>IF(OR(B159="",C159=0),"",B159/C159-1)</f>
        <v/>
      </c>
      <c r="E159" s="14" t="n"/>
      <c r="F159" s="13">
        <f>IFERROR(VLOOKUP(A159, HK_IPO!A:C, 3, TRUE), 0)</f>
        <v/>
      </c>
    </row>
    <row r="160">
      <c r="A160" s="7" t="n">
        <v>46194</v>
      </c>
      <c r="B160" s="12">
        <f>IF(E160="","",E160-F160)</f>
        <v/>
      </c>
      <c r="C160" s="4">
        <f>IF(B160="","",MAX($B$4:B160))</f>
        <v/>
      </c>
      <c r="D160" s="6">
        <f>IF(OR(B160="",C160=0),"",B160/C160-1)</f>
        <v/>
      </c>
      <c r="E160" s="14" t="n"/>
      <c r="F160" s="13">
        <f>IFERROR(VLOOKUP(A160, HK_IPO!A:C, 3, TRUE), 0)</f>
        <v/>
      </c>
    </row>
    <row r="161">
      <c r="A161" s="7" t="n">
        <v>46195</v>
      </c>
      <c r="B161" s="12">
        <f>IF(E161="","",E161-F161)</f>
        <v/>
      </c>
      <c r="C161" s="4">
        <f>IF(B161="","",MAX($B$4:B161))</f>
        <v/>
      </c>
      <c r="D161" s="6">
        <f>IF(OR(B161="",C161=0),"",B161/C161-1)</f>
        <v/>
      </c>
      <c r="E161" s="14" t="n"/>
      <c r="F161" s="13">
        <f>IFERROR(VLOOKUP(A161, HK_IPO!A:C, 3, TRUE), 0)</f>
        <v/>
      </c>
    </row>
    <row r="162">
      <c r="A162" s="7" t="n">
        <v>46196</v>
      </c>
      <c r="B162" s="12">
        <f>IF(E162="","",E162-F162)</f>
        <v/>
      </c>
      <c r="C162" s="4">
        <f>IF(B162="","",MAX($B$4:B162))</f>
        <v/>
      </c>
      <c r="D162" s="6">
        <f>IF(OR(B162="",C162=0),"",B162/C162-1)</f>
        <v/>
      </c>
      <c r="E162" s="14" t="n"/>
      <c r="F162" s="13">
        <f>IFERROR(VLOOKUP(A162, HK_IPO!A:C, 3, TRUE), 0)</f>
        <v/>
      </c>
    </row>
    <row r="163">
      <c r="A163" s="7" t="n">
        <v>46197</v>
      </c>
      <c r="B163" s="12">
        <f>IF(E163="","",E163-F163)</f>
        <v/>
      </c>
      <c r="C163" s="4">
        <f>IF(B163="","",MAX($B$4:B163))</f>
        <v/>
      </c>
      <c r="D163" s="6">
        <f>IF(OR(B163="",C163=0),"",B163/C163-1)</f>
        <v/>
      </c>
      <c r="E163" s="14" t="n"/>
      <c r="F163" s="13">
        <f>IFERROR(VLOOKUP(A163, HK_IPO!A:C, 3, TRUE), 0)</f>
        <v/>
      </c>
    </row>
    <row r="164">
      <c r="A164" s="7" t="n">
        <v>46198</v>
      </c>
      <c r="B164" s="12">
        <f>IF(E164="","",E164-F164)</f>
        <v/>
      </c>
      <c r="C164" s="4">
        <f>IF(B164="","",MAX($B$4:B164))</f>
        <v/>
      </c>
      <c r="D164" s="6">
        <f>IF(OR(B164="",C164=0),"",B164/C164-1)</f>
        <v/>
      </c>
      <c r="E164" s="14" t="n"/>
      <c r="F164" s="13">
        <f>IFERROR(VLOOKUP(A164, HK_IPO!A:C, 3, TRUE), 0)</f>
        <v/>
      </c>
    </row>
    <row r="165">
      <c r="A165" s="7" t="n">
        <v>46199</v>
      </c>
      <c r="B165" s="12">
        <f>IF(E165="","",E165-F165)</f>
        <v/>
      </c>
      <c r="C165" s="4">
        <f>IF(B165="","",MAX($B$4:B165))</f>
        <v/>
      </c>
      <c r="D165" s="6">
        <f>IF(OR(B165="",C165=0),"",B165/C165-1)</f>
        <v/>
      </c>
      <c r="E165" s="14" t="n"/>
      <c r="F165" s="13">
        <f>IFERROR(VLOOKUP(A165, HK_IPO!A:C, 3, TRUE), 0)</f>
        <v/>
      </c>
    </row>
    <row r="166">
      <c r="A166" s="7" t="n">
        <v>46200</v>
      </c>
      <c r="B166" s="12">
        <f>IF(E166="","",E166-F166)</f>
        <v/>
      </c>
      <c r="C166" s="4">
        <f>IF(B166="","",MAX($B$4:B166))</f>
        <v/>
      </c>
      <c r="D166" s="6">
        <f>IF(OR(B166="",C166=0),"",B166/C166-1)</f>
        <v/>
      </c>
      <c r="E166" s="14" t="n"/>
      <c r="F166" s="13">
        <f>IFERROR(VLOOKUP(A166, HK_IPO!A:C, 3, TRUE), 0)</f>
        <v/>
      </c>
    </row>
    <row r="167">
      <c r="A167" s="7" t="n">
        <v>46201</v>
      </c>
      <c r="B167" s="12">
        <f>IF(E167="","",E167-F167)</f>
        <v/>
      </c>
      <c r="C167" s="4">
        <f>IF(B167="","",MAX($B$4:B167))</f>
        <v/>
      </c>
      <c r="D167" s="6">
        <f>IF(OR(B167="",C167=0),"",B167/C167-1)</f>
        <v/>
      </c>
      <c r="E167" s="14" t="n"/>
      <c r="F167" s="13">
        <f>IFERROR(VLOOKUP(A167, HK_IPO!A:C, 3, TRUE), 0)</f>
        <v/>
      </c>
    </row>
    <row r="168">
      <c r="A168" s="7" t="n">
        <v>46202</v>
      </c>
      <c r="B168" s="12">
        <f>IF(E168="","",E168-F168)</f>
        <v/>
      </c>
      <c r="C168" s="4">
        <f>IF(B168="","",MAX($B$4:B168))</f>
        <v/>
      </c>
      <c r="D168" s="6">
        <f>IF(OR(B168="",C168=0),"",B168/C168-1)</f>
        <v/>
      </c>
      <c r="E168" s="14" t="n"/>
      <c r="F168" s="13">
        <f>IFERROR(VLOOKUP(A168, HK_IPO!A:C, 3, TRUE), 0)</f>
        <v/>
      </c>
    </row>
    <row r="169">
      <c r="A169" s="7" t="n">
        <v>46203</v>
      </c>
      <c r="B169" s="12">
        <f>IF(E169="","",E169-F169)</f>
        <v/>
      </c>
      <c r="C169" s="4">
        <f>IF(B169="","",MAX($B$4:B169))</f>
        <v/>
      </c>
      <c r="D169" s="6">
        <f>IF(OR(B169="",C169=0),"",B169/C169-1)</f>
        <v/>
      </c>
      <c r="E169" s="14" t="n"/>
      <c r="F169" s="13">
        <f>IFERROR(VLOOKUP(A169, HK_IPO!A:C, 3, TRUE), 0)</f>
        <v/>
      </c>
    </row>
    <row r="170">
      <c r="A170" s="7" t="n">
        <v>46204</v>
      </c>
      <c r="B170" s="12">
        <f>IF(E170="","",E170-F170)</f>
        <v/>
      </c>
      <c r="C170" s="4">
        <f>IF(B170="","",MAX($B$4:B170))</f>
        <v/>
      </c>
      <c r="D170" s="6">
        <f>IF(OR(B170="",C170=0),"",B170/C170-1)</f>
        <v/>
      </c>
      <c r="E170" s="14" t="n"/>
      <c r="F170" s="13">
        <f>IFERROR(VLOOKUP(A170, HK_IPO!A:C, 3, TRUE), 0)</f>
        <v/>
      </c>
    </row>
    <row r="171">
      <c r="A171" s="7" t="n">
        <v>46205</v>
      </c>
      <c r="B171" s="12">
        <f>IF(E171="","",E171-F171)</f>
        <v/>
      </c>
      <c r="C171" s="4">
        <f>IF(B171="","",MAX($B$4:B171))</f>
        <v/>
      </c>
      <c r="D171" s="6">
        <f>IF(OR(B171="",C171=0),"",B171/C171-1)</f>
        <v/>
      </c>
      <c r="E171" s="14" t="n"/>
      <c r="F171" s="13">
        <f>IFERROR(VLOOKUP(A171, HK_IPO!A:C, 3, TRUE), 0)</f>
        <v/>
      </c>
    </row>
    <row r="172">
      <c r="A172" s="7" t="n">
        <v>46206</v>
      </c>
      <c r="B172" s="12">
        <f>IF(E172="","",E172-F172)</f>
        <v/>
      </c>
      <c r="C172" s="4">
        <f>IF(B172="","",MAX($B$4:B172))</f>
        <v/>
      </c>
      <c r="D172" s="6">
        <f>IF(OR(B172="",C172=0),"",B172/C172-1)</f>
        <v/>
      </c>
      <c r="E172" s="14" t="n"/>
      <c r="F172" s="13">
        <f>IFERROR(VLOOKUP(A172, HK_IPO!A:C, 3, TRUE), 0)</f>
        <v/>
      </c>
    </row>
    <row r="173">
      <c r="A173" s="7" t="n">
        <v>46207</v>
      </c>
      <c r="B173" s="12">
        <f>IF(E173="","",E173-F173)</f>
        <v/>
      </c>
      <c r="C173" s="4">
        <f>IF(B173="","",MAX($B$4:B173))</f>
        <v/>
      </c>
      <c r="D173" s="6">
        <f>IF(OR(B173="",C173=0),"",B173/C173-1)</f>
        <v/>
      </c>
      <c r="E173" s="14" t="n"/>
      <c r="F173" s="13">
        <f>IFERROR(VLOOKUP(A173, HK_IPO!A:C, 3, TRUE), 0)</f>
        <v/>
      </c>
    </row>
    <row r="174">
      <c r="A174" s="7" t="n">
        <v>46208</v>
      </c>
      <c r="B174" s="12">
        <f>IF(E174="","",E174-F174)</f>
        <v/>
      </c>
      <c r="C174" s="4">
        <f>IF(B174="","",MAX($B$4:B174))</f>
        <v/>
      </c>
      <c r="D174" s="6">
        <f>IF(OR(B174="",C174=0),"",B174/C174-1)</f>
        <v/>
      </c>
      <c r="E174" s="14" t="n"/>
      <c r="F174" s="13">
        <f>IFERROR(VLOOKUP(A174, HK_IPO!A:C, 3, TRUE), 0)</f>
        <v/>
      </c>
    </row>
    <row r="175">
      <c r="A175" s="7" t="n">
        <v>46209</v>
      </c>
      <c r="B175" s="12">
        <f>IF(E175="","",E175-F175)</f>
        <v/>
      </c>
      <c r="C175" s="4">
        <f>IF(B175="","",MAX($B$4:B175))</f>
        <v/>
      </c>
      <c r="D175" s="6">
        <f>IF(OR(B175="",C175=0),"",B175/C175-1)</f>
        <v/>
      </c>
      <c r="E175" s="14" t="n"/>
      <c r="F175" s="13">
        <f>IFERROR(VLOOKUP(A175, HK_IPO!A:C, 3, TRUE), 0)</f>
        <v/>
      </c>
    </row>
    <row r="176">
      <c r="A176" s="7" t="n">
        <v>46210</v>
      </c>
      <c r="B176" s="12">
        <f>IF(E176="","",E176-F176)</f>
        <v/>
      </c>
      <c r="C176" s="4">
        <f>IF(B176="","",MAX($B$4:B176))</f>
        <v/>
      </c>
      <c r="D176" s="6">
        <f>IF(OR(B176="",C176=0),"",B176/C176-1)</f>
        <v/>
      </c>
      <c r="E176" s="14" t="n"/>
      <c r="F176" s="13">
        <f>IFERROR(VLOOKUP(A176, HK_IPO!A:C, 3, TRUE), 0)</f>
        <v/>
      </c>
    </row>
    <row r="177">
      <c r="A177" s="7" t="n">
        <v>46211</v>
      </c>
      <c r="B177" s="12">
        <f>IF(E177="","",E177-F177)</f>
        <v/>
      </c>
      <c r="C177" s="4">
        <f>IF(B177="","",MAX($B$4:B177))</f>
        <v/>
      </c>
      <c r="D177" s="6">
        <f>IF(OR(B177="",C177=0),"",B177/C177-1)</f>
        <v/>
      </c>
      <c r="E177" s="14" t="n"/>
      <c r="F177" s="13">
        <f>IFERROR(VLOOKUP(A177, HK_IPO!A:C, 3, TRUE), 0)</f>
        <v/>
      </c>
    </row>
    <row r="178">
      <c r="A178" s="7" t="n">
        <v>46212</v>
      </c>
      <c r="B178" s="12">
        <f>IF(E178="","",E178-F178)</f>
        <v/>
      </c>
      <c r="C178" s="4">
        <f>IF(B178="","",MAX($B$4:B178))</f>
        <v/>
      </c>
      <c r="D178" s="6">
        <f>IF(OR(B178="",C178=0),"",B178/C178-1)</f>
        <v/>
      </c>
      <c r="E178" s="14" t="n"/>
      <c r="F178" s="13">
        <f>IFERROR(VLOOKUP(A178, HK_IPO!A:C, 3, TRUE), 0)</f>
        <v/>
      </c>
    </row>
    <row r="179">
      <c r="A179" s="7" t="n">
        <v>46213</v>
      </c>
      <c r="B179" s="12">
        <f>IF(E179="","",E179-F179)</f>
        <v/>
      </c>
      <c r="C179" s="4">
        <f>IF(B179="","",MAX($B$4:B179))</f>
        <v/>
      </c>
      <c r="D179" s="6">
        <f>IF(OR(B179="",C179=0),"",B179/C179-1)</f>
        <v/>
      </c>
      <c r="E179" s="14" t="n"/>
      <c r="F179" s="13">
        <f>IFERROR(VLOOKUP(A179, HK_IPO!A:C, 3, TRUE), 0)</f>
        <v/>
      </c>
    </row>
    <row r="180">
      <c r="A180" s="7" t="n">
        <v>46214</v>
      </c>
      <c r="B180" s="12">
        <f>IF(E180="","",E180-F180)</f>
        <v/>
      </c>
      <c r="C180" s="4">
        <f>IF(B180="","",MAX($B$4:B180))</f>
        <v/>
      </c>
      <c r="D180" s="6">
        <f>IF(OR(B180="",C180=0),"",B180/C180-1)</f>
        <v/>
      </c>
      <c r="E180" s="14" t="n"/>
      <c r="F180" s="13">
        <f>IFERROR(VLOOKUP(A180, HK_IPO!A:C, 3, TRUE), 0)</f>
        <v/>
      </c>
    </row>
    <row r="181">
      <c r="A181" s="7" t="n">
        <v>46215</v>
      </c>
      <c r="B181" s="12">
        <f>IF(E181="","",E181-F181)</f>
        <v/>
      </c>
      <c r="C181" s="4">
        <f>IF(B181="","",MAX($B$4:B181))</f>
        <v/>
      </c>
      <c r="D181" s="6">
        <f>IF(OR(B181="",C181=0),"",B181/C181-1)</f>
        <v/>
      </c>
      <c r="E181" s="14" t="n"/>
      <c r="F181" s="13">
        <f>IFERROR(VLOOKUP(A181, HK_IPO!A:C, 3, TRUE), 0)</f>
        <v/>
      </c>
    </row>
    <row r="182">
      <c r="A182" s="7" t="n">
        <v>46216</v>
      </c>
      <c r="B182" s="12">
        <f>IF(E182="","",E182-F182)</f>
        <v/>
      </c>
      <c r="C182" s="4">
        <f>IF(B182="","",MAX($B$4:B182))</f>
        <v/>
      </c>
      <c r="D182" s="6">
        <f>IF(OR(B182="",C182=0),"",B182/C182-1)</f>
        <v/>
      </c>
      <c r="E182" s="14" t="n"/>
      <c r="F182" s="13">
        <f>IFERROR(VLOOKUP(A182, HK_IPO!A:C, 3, TRUE), 0)</f>
        <v/>
      </c>
    </row>
    <row r="183">
      <c r="A183" s="7" t="n">
        <v>46217</v>
      </c>
      <c r="B183" s="12">
        <f>IF(E183="","",E183-F183)</f>
        <v/>
      </c>
      <c r="C183" s="4">
        <f>IF(B183="","",MAX($B$4:B183))</f>
        <v/>
      </c>
      <c r="D183" s="6">
        <f>IF(OR(B183="",C183=0),"",B183/C183-1)</f>
        <v/>
      </c>
      <c r="E183" s="14" t="n"/>
      <c r="F183" s="13">
        <f>IFERROR(VLOOKUP(A183, HK_IPO!A:C, 3, TRUE), 0)</f>
        <v/>
      </c>
    </row>
    <row r="184">
      <c r="A184" s="7" t="n">
        <v>46218</v>
      </c>
      <c r="B184" s="12">
        <f>IF(E184="","",E184-F184)</f>
        <v/>
      </c>
      <c r="C184" s="4">
        <f>IF(B184="","",MAX($B$4:B184))</f>
        <v/>
      </c>
      <c r="D184" s="6">
        <f>IF(OR(B184="",C184=0),"",B184/C184-1)</f>
        <v/>
      </c>
      <c r="E184" s="14" t="n"/>
      <c r="F184" s="13">
        <f>IFERROR(VLOOKUP(A184, HK_IPO!A:C, 3, TRUE), 0)</f>
        <v/>
      </c>
    </row>
    <row r="185">
      <c r="A185" s="7" t="n">
        <v>46219</v>
      </c>
      <c r="B185" s="12">
        <f>IF(E185="","",E185-F185)</f>
        <v/>
      </c>
      <c r="C185" s="4">
        <f>IF(B185="","",MAX($B$4:B185))</f>
        <v/>
      </c>
      <c r="D185" s="6">
        <f>IF(OR(B185="",C185=0),"",B185/C185-1)</f>
        <v/>
      </c>
      <c r="E185" s="14" t="n"/>
      <c r="F185" s="13">
        <f>IFERROR(VLOOKUP(A185, HK_IPO!A:C, 3, TRUE), 0)</f>
        <v/>
      </c>
    </row>
    <row r="186">
      <c r="A186" s="7" t="n">
        <v>46220</v>
      </c>
      <c r="B186" s="12">
        <f>IF(E186="","",E186-F186)</f>
        <v/>
      </c>
      <c r="C186" s="4">
        <f>IF(B186="","",MAX($B$4:B186))</f>
        <v/>
      </c>
      <c r="D186" s="6">
        <f>IF(OR(B186="",C186=0),"",B186/C186-1)</f>
        <v/>
      </c>
      <c r="E186" s="14" t="n"/>
      <c r="F186" s="13">
        <f>IFERROR(VLOOKUP(A186, HK_IPO!A:C, 3, TRUE), 0)</f>
        <v/>
      </c>
    </row>
    <row r="187">
      <c r="A187" s="7" t="n">
        <v>46221</v>
      </c>
      <c r="B187" s="12">
        <f>IF(E187="","",E187-F187)</f>
        <v/>
      </c>
      <c r="C187" s="4">
        <f>IF(B187="","",MAX($B$4:B187))</f>
        <v/>
      </c>
      <c r="D187" s="6">
        <f>IF(OR(B187="",C187=0),"",B187/C187-1)</f>
        <v/>
      </c>
      <c r="E187" s="14" t="n"/>
      <c r="F187" s="13">
        <f>IFERROR(VLOOKUP(A187, HK_IPO!A:C, 3, TRUE), 0)</f>
        <v/>
      </c>
    </row>
    <row r="188">
      <c r="A188" s="7" t="n">
        <v>46222</v>
      </c>
      <c r="B188" s="12">
        <f>IF(E188="","",E188-F188)</f>
        <v/>
      </c>
      <c r="C188" s="4">
        <f>IF(B188="","",MAX($B$4:B188))</f>
        <v/>
      </c>
      <c r="D188" s="6">
        <f>IF(OR(B188="",C188=0),"",B188/C188-1)</f>
        <v/>
      </c>
      <c r="E188" s="14" t="n"/>
      <c r="F188" s="13">
        <f>IFERROR(VLOOKUP(A188, HK_IPO!A:C, 3, TRUE), 0)</f>
        <v/>
      </c>
    </row>
    <row r="189">
      <c r="A189" s="7" t="n">
        <v>46223</v>
      </c>
      <c r="B189" s="12">
        <f>IF(E189="","",E189-F189)</f>
        <v/>
      </c>
      <c r="C189" s="4">
        <f>IF(B189="","",MAX($B$4:B189))</f>
        <v/>
      </c>
      <c r="D189" s="6">
        <f>IF(OR(B189="",C189=0),"",B189/C189-1)</f>
        <v/>
      </c>
      <c r="E189" s="14" t="n"/>
      <c r="F189" s="13">
        <f>IFERROR(VLOOKUP(A189, HK_IPO!A:C, 3, TRUE), 0)</f>
        <v/>
      </c>
    </row>
    <row r="190">
      <c r="A190" s="7" t="n">
        <v>46224</v>
      </c>
      <c r="B190" s="12">
        <f>IF(E190="","",E190-F190)</f>
        <v/>
      </c>
      <c r="C190" s="4">
        <f>IF(B190="","",MAX($B$4:B190))</f>
        <v/>
      </c>
      <c r="D190" s="6">
        <f>IF(OR(B190="",C190=0),"",B190/C190-1)</f>
        <v/>
      </c>
      <c r="E190" s="14" t="n"/>
      <c r="F190" s="13">
        <f>IFERROR(VLOOKUP(A190, HK_IPO!A:C, 3, TRUE), 0)</f>
        <v/>
      </c>
    </row>
    <row r="191">
      <c r="A191" s="7" t="n">
        <v>46225</v>
      </c>
      <c r="B191" s="12">
        <f>IF(E191="","",E191-F191)</f>
        <v/>
      </c>
      <c r="C191" s="4">
        <f>IF(B191="","",MAX($B$4:B191))</f>
        <v/>
      </c>
      <c r="D191" s="6">
        <f>IF(OR(B191="",C191=0),"",B191/C191-1)</f>
        <v/>
      </c>
      <c r="E191" s="14" t="n"/>
      <c r="F191" s="13">
        <f>IFERROR(VLOOKUP(A191, HK_IPO!A:C, 3, TRUE), 0)</f>
        <v/>
      </c>
    </row>
    <row r="192">
      <c r="A192" s="7" t="n">
        <v>46226</v>
      </c>
      <c r="B192" s="12">
        <f>IF(E192="","",E192-F192)</f>
        <v/>
      </c>
      <c r="C192" s="4">
        <f>IF(B192="","",MAX($B$4:B192))</f>
        <v/>
      </c>
      <c r="D192" s="6">
        <f>IF(OR(B192="",C192=0),"",B192/C192-1)</f>
        <v/>
      </c>
      <c r="E192" s="14" t="n"/>
      <c r="F192" s="13">
        <f>IFERROR(VLOOKUP(A192, HK_IPO!A:C, 3, TRUE), 0)</f>
        <v/>
      </c>
    </row>
    <row r="193">
      <c r="A193" s="7" t="n">
        <v>46227</v>
      </c>
      <c r="B193" s="12">
        <f>IF(E193="","",E193-F193)</f>
        <v/>
      </c>
      <c r="C193" s="4">
        <f>IF(B193="","",MAX($B$4:B193))</f>
        <v/>
      </c>
      <c r="D193" s="6">
        <f>IF(OR(B193="",C193=0),"",B193/C193-1)</f>
        <v/>
      </c>
      <c r="E193" s="14" t="n"/>
      <c r="F193" s="13">
        <f>IFERROR(VLOOKUP(A193, HK_IPO!A:C, 3, TRUE), 0)</f>
        <v/>
      </c>
    </row>
    <row r="194">
      <c r="A194" s="7" t="n">
        <v>46228</v>
      </c>
      <c r="B194" s="12">
        <f>IF(E194="","",E194-F194)</f>
        <v/>
      </c>
      <c r="C194" s="4">
        <f>IF(B194="","",MAX($B$4:B194))</f>
        <v/>
      </c>
      <c r="D194" s="6">
        <f>IF(OR(B194="",C194=0),"",B194/C194-1)</f>
        <v/>
      </c>
      <c r="E194" s="14" t="n"/>
      <c r="F194" s="13">
        <f>IFERROR(VLOOKUP(A194, HK_IPO!A:C, 3, TRUE), 0)</f>
        <v/>
      </c>
    </row>
    <row r="195">
      <c r="A195" s="7" t="n">
        <v>46229</v>
      </c>
      <c r="B195" s="12">
        <f>IF(E195="","",E195-F195)</f>
        <v/>
      </c>
      <c r="C195" s="4">
        <f>IF(B195="","",MAX($B$4:B195))</f>
        <v/>
      </c>
      <c r="D195" s="6">
        <f>IF(OR(B195="",C195=0),"",B195/C195-1)</f>
        <v/>
      </c>
      <c r="E195" s="14" t="n"/>
      <c r="F195" s="13">
        <f>IFERROR(VLOOKUP(A195, HK_IPO!A:C, 3, TRUE), 0)</f>
        <v/>
      </c>
    </row>
    <row r="196">
      <c r="A196" s="7" t="n">
        <v>46230</v>
      </c>
      <c r="B196" s="12">
        <f>IF(E196="","",E196-F196)</f>
        <v/>
      </c>
      <c r="C196" s="4">
        <f>IF(B196="","",MAX($B$4:B196))</f>
        <v/>
      </c>
      <c r="D196" s="6">
        <f>IF(OR(B196="",C196=0),"",B196/C196-1)</f>
        <v/>
      </c>
      <c r="E196" s="14" t="n"/>
      <c r="F196" s="13">
        <f>IFERROR(VLOOKUP(A196, HK_IPO!A:C, 3, TRUE), 0)</f>
        <v/>
      </c>
    </row>
    <row r="197">
      <c r="A197" s="7" t="n">
        <v>46231</v>
      </c>
      <c r="B197" s="12">
        <f>IF(E197="","",E197-F197)</f>
        <v/>
      </c>
      <c r="C197" s="4">
        <f>IF(B197="","",MAX($B$4:B197))</f>
        <v/>
      </c>
      <c r="D197" s="6">
        <f>IF(OR(B197="",C197=0),"",B197/C197-1)</f>
        <v/>
      </c>
      <c r="E197" s="14" t="n"/>
      <c r="F197" s="13">
        <f>IFERROR(VLOOKUP(A197, HK_IPO!A:C, 3, TRUE), 0)</f>
        <v/>
      </c>
    </row>
    <row r="198">
      <c r="A198" s="7" t="n">
        <v>46232</v>
      </c>
      <c r="B198" s="12">
        <f>IF(E198="","",E198-F198)</f>
        <v/>
      </c>
      <c r="C198" s="4">
        <f>IF(B198="","",MAX($B$4:B198))</f>
        <v/>
      </c>
      <c r="D198" s="6">
        <f>IF(OR(B198="",C198=0),"",B198/C198-1)</f>
        <v/>
      </c>
      <c r="E198" s="14" t="n"/>
      <c r="F198" s="13">
        <f>IFERROR(VLOOKUP(A198, HK_IPO!A:C, 3, TRUE), 0)</f>
        <v/>
      </c>
    </row>
    <row r="199">
      <c r="A199" s="7" t="n">
        <v>46233</v>
      </c>
      <c r="B199" s="12">
        <f>IF(E199="","",E199-F199)</f>
        <v/>
      </c>
      <c r="C199" s="4">
        <f>IF(B199="","",MAX($B$4:B199))</f>
        <v/>
      </c>
      <c r="D199" s="6">
        <f>IF(OR(B199="",C199=0),"",B199/C199-1)</f>
        <v/>
      </c>
      <c r="E199" s="14" t="n"/>
      <c r="F199" s="13">
        <f>IFERROR(VLOOKUP(A199, HK_IPO!A:C, 3, TRUE), 0)</f>
        <v/>
      </c>
    </row>
    <row r="200">
      <c r="A200" s="7" t="n">
        <v>46234</v>
      </c>
      <c r="B200" s="12">
        <f>IF(E200="","",E200-F200)</f>
        <v/>
      </c>
      <c r="C200" s="4">
        <f>IF(B200="","",MAX($B$4:B200))</f>
        <v/>
      </c>
      <c r="D200" s="6">
        <f>IF(OR(B200="",C200=0),"",B200/C200-1)</f>
        <v/>
      </c>
      <c r="E200" s="14" t="n"/>
      <c r="F200" s="13">
        <f>IFERROR(VLOOKUP(A200, HK_IPO!A:C, 3, TRUE), 0)</f>
        <v/>
      </c>
    </row>
    <row r="201">
      <c r="A201" s="7" t="n">
        <v>46235</v>
      </c>
      <c r="B201" s="12">
        <f>IF(E201="","",E201-F201)</f>
        <v/>
      </c>
      <c r="C201" s="4">
        <f>IF(B201="","",MAX($B$4:B201))</f>
        <v/>
      </c>
      <c r="D201" s="6">
        <f>IF(OR(B201="",C201=0),"",B201/C201-1)</f>
        <v/>
      </c>
      <c r="E201" s="14" t="n"/>
      <c r="F201" s="13">
        <f>IFERROR(VLOOKUP(A201, HK_IPO!A:C, 3, TRUE), 0)</f>
        <v/>
      </c>
    </row>
    <row r="202">
      <c r="A202" s="7" t="n">
        <v>46236</v>
      </c>
      <c r="B202" s="12">
        <f>IF(E202="","",E202-F202)</f>
        <v/>
      </c>
      <c r="C202" s="4">
        <f>IF(B202="","",MAX($B$4:B202))</f>
        <v/>
      </c>
      <c r="D202" s="6">
        <f>IF(OR(B202="",C202=0),"",B202/C202-1)</f>
        <v/>
      </c>
      <c r="E202" s="14" t="n"/>
      <c r="F202" s="13">
        <f>IFERROR(VLOOKUP(A202, HK_IPO!A:C, 3, TRUE), 0)</f>
        <v/>
      </c>
    </row>
    <row r="203">
      <c r="A203" s="7" t="n">
        <v>46237</v>
      </c>
      <c r="B203" s="12">
        <f>IF(E203="","",E203-F203)</f>
        <v/>
      </c>
      <c r="C203" s="4">
        <f>IF(B203="","",MAX($B$4:B203))</f>
        <v/>
      </c>
      <c r="D203" s="6">
        <f>IF(OR(B203="",C203=0),"",B203/C203-1)</f>
        <v/>
      </c>
      <c r="E203" s="14" t="n"/>
      <c r="F203" s="13">
        <f>IFERROR(VLOOKUP(A203, HK_IPO!A:C, 3, TRUE), 0)</f>
        <v/>
      </c>
    </row>
  </sheetData>
  <mergeCells count="1">
    <mergeCell ref="A1:D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5"/>
  <sheetViews>
    <sheetView tabSelected="1" workbookViewId="0">
      <selection activeCell="D5" sqref="D5"/>
    </sheetView>
  </sheetViews>
  <sheetFormatPr baseColWidth="8" defaultRowHeight="14.6"/>
  <cols>
    <col width="13.84375" bestFit="1" customWidth="1" min="1" max="1"/>
    <col width="11.84375" bestFit="1" customWidth="1" min="2" max="2"/>
    <col width="9.23046875" bestFit="1" customWidth="1" min="4" max="4"/>
    <col width="6.84375" bestFit="1" customWidth="1" min="5" max="5"/>
  </cols>
  <sheetData>
    <row r="1" ht="18.45" customHeight="1">
      <c r="A1" s="10" t="inlineStr">
        <is>
          <t>Strategy Dashboard</t>
        </is>
      </c>
    </row>
    <row r="3">
      <c r="A3" s="2" t="inlineStr">
        <is>
          <t>Metric</t>
        </is>
      </c>
      <c r="B3" s="2" t="inlineStr">
        <is>
          <t>Value</t>
        </is>
      </c>
      <c r="D3" s="2" t="inlineStr">
        <is>
          <t>Allocation</t>
        </is>
      </c>
      <c r="E3" s="2" t="inlineStr">
        <is>
          <t>Weight</t>
        </is>
      </c>
    </row>
    <row r="4">
      <c r="A4" t="inlineStr">
        <is>
          <t>Starting Equity</t>
        </is>
      </c>
      <c r="B4" s="4">
        <f>Config!$B$4</f>
        <v/>
      </c>
      <c r="D4" t="inlineStr">
        <is>
          <t>L0+</t>
        </is>
      </c>
      <c r="E4" s="6">
        <f>SUMIF(Holdings!$A$4:$A$11,"L0+",Holdings!$G$4:$G$11)/Holdings!$B$16</f>
        <v/>
      </c>
    </row>
    <row r="5">
      <c r="A5" t="inlineStr">
        <is>
          <t>Net Deposits</t>
        </is>
      </c>
      <c r="B5" s="4">
        <f>SUMIFS(Cash_Flow!$C:$C,Cash_Flow!$B:$B,"Deposit")-SUMIFS(Cash_Flow!$C:$C,Cash_Flow!$B:$B,"Withdrawal")</f>
        <v/>
      </c>
      <c r="D5" t="inlineStr">
        <is>
          <t>L1</t>
        </is>
      </c>
      <c r="E5" s="6">
        <f>SUMIF(Holdings!$A$4:$A$11,"L1",Holdings!$G$4:$G$11)/Holdings!$B$16</f>
        <v/>
      </c>
    </row>
    <row r="6">
      <c r="A6" t="inlineStr">
        <is>
          <t>Realized PnL</t>
        </is>
      </c>
      <c r="B6" s="4">
        <f>SUM(Transactions!$N$4:$N$206)</f>
        <v/>
      </c>
      <c r="D6" t="inlineStr">
        <is>
          <t>L2</t>
        </is>
      </c>
      <c r="E6" s="6">
        <f>SUMIF(Holdings!$A$4:$A$11,"L2",Holdings!$G$4:$G$11)/Holdings!$B$16</f>
        <v/>
      </c>
    </row>
    <row r="7">
      <c r="A7" t="inlineStr">
        <is>
          <t>Unrealized PnL</t>
        </is>
      </c>
      <c r="B7" s="4">
        <f>SUM(Holdings!$H$4:$H$11)</f>
        <v/>
      </c>
      <c r="D7" t="inlineStr">
        <is>
          <t>Cash</t>
        </is>
      </c>
      <c r="E7" s="6">
        <f>Holdings!$B$15/Holdings!$B$16</f>
        <v/>
      </c>
    </row>
    <row r="8">
      <c r="A8" t="inlineStr">
        <is>
          <t>Strategy PnL</t>
        </is>
      </c>
      <c r="B8" s="4">
        <f>B6+B7</f>
        <v/>
      </c>
    </row>
    <row r="9">
      <c r="A9" t="inlineStr">
        <is>
          <t>Current Equity</t>
        </is>
      </c>
      <c r="B9" s="4">
        <f>Holdings!$B$16</f>
        <v/>
      </c>
    </row>
    <row r="10">
      <c r="A10" t="inlineStr">
        <is>
          <t>Strategy Return</t>
        </is>
      </c>
      <c r="B10" s="6">
        <f>IF(B4=0,0,B8/B4)</f>
        <v/>
      </c>
    </row>
    <row r="11">
      <c r="A11" t="inlineStr">
        <is>
          <t>Account Return</t>
        </is>
      </c>
      <c r="B11" s="6">
        <f>IF(B4+B5=0,0,(B9-B4-B5)/(B4+B5))</f>
        <v/>
      </c>
    </row>
    <row r="12">
      <c r="A12" t="inlineStr">
        <is>
          <t>Closed Trades</t>
        </is>
      </c>
      <c r="B12">
        <f>COUNTIF(Transactions!$N$4:$N$206,"&gt;0")+COUNTIF(Transactions!$N$4:$N$206,"&lt;0")</f>
        <v/>
      </c>
    </row>
    <row r="13">
      <c r="A13" t="inlineStr">
        <is>
          <t>Win Rate</t>
        </is>
      </c>
      <c r="B13" s="6">
        <f>IF(B12=0,0,COUNTIF(Transactions!$N$4:$N$206,"&gt;0")/B12)</f>
        <v/>
      </c>
    </row>
    <row r="14">
      <c r="A14" t="inlineStr">
        <is>
          <t>Profit Factor</t>
        </is>
      </c>
      <c r="B14">
        <f>IF(ABS(SUMIF(Transactions!$N$4:$N$206,"&lt;0"))=0,0,SUMIF(Transactions!$N$4:$N$206,"&gt;0")/ABS(SUMIF(Transactions!$N$4:$N$206,"&lt;0")))</f>
        <v/>
      </c>
    </row>
    <row r="15">
      <c r="A15" t="inlineStr">
        <is>
          <t>Max Drawdown</t>
        </is>
      </c>
      <c r="B15" s="6">
        <f>MIN(Daily_Equity!$D$4:$D$203)</f>
        <v/>
      </c>
    </row>
  </sheetData>
  <mergeCells count="1">
    <mergeCell ref="A1:B1"/>
  </mergeCells>
  <pageMargins left="0.7" right="0.7" top="0.75" bottom="0.75" header="0.3" footer="0.3"/>
  <drawing xmlns:r="http://schemas.openxmlformats.org/officeDocument/2006/relationships" r:id="rId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1"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25" customWidth="1" min="3" max="3"/>
  </cols>
  <sheetData>
    <row r="1">
      <c r="A1" s="15" t="inlineStr">
        <is>
          <t>HK IPO Realized PnL Tracker / 港股打新已实现盈亏</t>
        </is>
      </c>
    </row>
    <row r="3">
      <c r="A3" s="11" t="inlineStr">
        <is>
          <t>Date / 结算日期</t>
        </is>
      </c>
      <c r="B3" s="11" t="inlineStr">
        <is>
          <t>Monthly PnL / 当月盈亏 ($)</t>
        </is>
      </c>
      <c r="C3" s="11" t="inlineStr">
        <is>
          <t>Accumulated PnL / 累计盈亏 ($)</t>
        </is>
      </c>
    </row>
    <row r="4">
      <c r="A4" s="16" t="n">
        <v>46037</v>
      </c>
      <c r="B4" s="13" t="n">
        <v>0</v>
      </c>
      <c r="C4" s="13">
        <f>B4</f>
        <v/>
      </c>
    </row>
    <row r="5">
      <c r="A5" s="16" t="n">
        <v>46053</v>
      </c>
      <c r="B5" s="13" t="n">
        <v>0</v>
      </c>
      <c r="C5" s="13">
        <f>C4+B5</f>
        <v/>
      </c>
    </row>
    <row r="6">
      <c r="A6" s="16" t="n">
        <v>46081</v>
      </c>
      <c r="B6" s="13" t="n">
        <v>0</v>
      </c>
      <c r="C6" s="13">
        <f>C5+B6</f>
        <v/>
      </c>
    </row>
    <row r="7">
      <c r="A7" s="16" t="n">
        <v>46112</v>
      </c>
      <c r="B7" s="13" t="n">
        <v>0</v>
      </c>
      <c r="C7" s="13">
        <f>C6+B7</f>
        <v/>
      </c>
    </row>
    <row r="8">
      <c r="A8" s="16" t="n">
        <v>46142</v>
      </c>
      <c r="B8" s="13" t="n">
        <v>0</v>
      </c>
      <c r="C8" s="13">
        <f>C7+B8</f>
        <v/>
      </c>
    </row>
    <row r="9">
      <c r="A9" s="16" t="n">
        <v>46173</v>
      </c>
      <c r="B9" s="13" t="n">
        <v>0</v>
      </c>
      <c r="C9" s="13">
        <f>C8+B9</f>
        <v/>
      </c>
    </row>
    <row r="10">
      <c r="A10" s="16" t="n">
        <v>46203</v>
      </c>
      <c r="B10" s="13" t="n">
        <v>0</v>
      </c>
      <c r="C10" s="13">
        <f>C9+B10</f>
        <v/>
      </c>
    </row>
    <row r="11">
      <c r="A11" s="16" t="n">
        <v>46234</v>
      </c>
      <c r="B11" s="13" t="n">
        <v>0</v>
      </c>
      <c r="C11" s="13">
        <f>C10+B11</f>
        <v/>
      </c>
    </row>
    <row r="12">
      <c r="A12" s="16" t="n">
        <v>46265</v>
      </c>
      <c r="B12" s="13" t="n">
        <v>0</v>
      </c>
      <c r="C12" s="13">
        <f>C11+B12</f>
        <v/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Jason Zhang</dc:creator>
  <dcterms:created xsi:type="dcterms:W3CDTF">2026-05-14T02:37:31Z</dcterms:created>
  <dcterms:modified xsi:type="dcterms:W3CDTF">2026-06-25T09:31:18Z</dcterms:modified>
  <cp:lastModifiedBy>Jason Zhang</cp:lastModifiedBy>
</cp:coreProperties>
</file>